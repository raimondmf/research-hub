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0" documentId="13_ncr:1_{F84D9234-F82C-4CA1-88A2-25C65A498709}" xr6:coauthVersionLast="47" xr6:coauthVersionMax="47" xr10:uidLastSave="{00000000-0000-0000-0000-000000000000}"/>
  <bookViews>
    <workbookView xWindow="-108" yWindow="-108" windowWidth="23256" windowHeight="13896" xr2:uid="{00000000-000D-0000-FFFF-FFFF00000000}"/>
  </bookViews>
  <sheets>
    <sheet name="Instructions" sheetId="1" r:id="rId1"/>
    <sheet name="Risk Assessment" sheetId="2" r:id="rId2"/>
    <sheet name="Control Selection" sheetId="3" r:id="rId3"/>
    <sheet name="Risk Matrix" sheetId="4" r:id="rId4"/>
    <sheet name="Control Catalo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0" i="3" l="1"/>
  <c r="G109" i="3"/>
  <c r="G108" i="3"/>
  <c r="G107" i="3"/>
  <c r="G106" i="3"/>
  <c r="G105" i="3"/>
  <c r="G104" i="3"/>
  <c r="E2" i="3" s="1"/>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C2" i="3"/>
  <c r="G1" i="3"/>
  <c r="E1" i="3"/>
  <c r="C1" i="3"/>
  <c r="C22" i="2"/>
  <c r="C21" i="2"/>
  <c r="C20" i="2"/>
  <c r="B37" i="2" s="1"/>
  <c r="C19" i="2"/>
  <c r="C18" i="2"/>
  <c r="C14" i="2"/>
  <c r="B36" i="2" s="1"/>
  <c r="C13" i="2"/>
  <c r="C12" i="2"/>
  <c r="B35" i="2" s="1"/>
  <c r="C11" i="2"/>
  <c r="C10" i="2"/>
  <c r="C9" i="2"/>
  <c r="B34" i="2" s="1"/>
  <c r="G2" i="3" l="1"/>
  <c r="H2" i="3" s="1"/>
  <c r="B29" i="2" s="1"/>
  <c r="B27" i="2"/>
  <c r="C27" i="2" s="1"/>
  <c r="B26" i="2"/>
  <c r="B28" i="2" l="1"/>
  <c r="B33" i="2" s="1"/>
  <c r="C26" i="2"/>
  <c r="B30" i="2" l="1"/>
  <c r="C30" i="2" s="1"/>
  <c r="C28" i="2"/>
</calcChain>
</file>

<file path=xl/sharedStrings.xml><?xml version="1.0" encoding="utf-8"?>
<sst xmlns="http://schemas.openxmlformats.org/spreadsheetml/2006/main" count="1345" uniqueCount="383">
  <si>
    <t>AI RISK ASSESSMENT CALCULATOR</t>
  </si>
  <si>
    <t>Based on: AI Agentic Governance Framework v3.1 (2026-05-28)</t>
  </si>
  <si>
    <t>PURPOSE</t>
  </si>
  <si>
    <t>This workbook calculates the inherent and residual risk of implementing AI in an application, system, or software.</t>
  </si>
  <si>
    <t>It considers information classification, personal data processing, exposure, business criticality, regulatory relevance, and applied AI governance controls.</t>
  </si>
  <si>
    <t>HOW TO USE</t>
  </si>
  <si>
    <t>1. Go to 'Risk Assessment' tab and fill in ALL YELLOW cells with your system characteristics.</t>
  </si>
  <si>
    <t>2. The Impact Score and Likelihood Score are calculated automatically (GREEN cells).</t>
  </si>
  <si>
    <t>3. Go to 'Control Selection' tab and mark which controls are implemented (Yes / No / Partial).</t>
  </si>
  <si>
    <t>4. Return to 'Risk Assessment' tab to see your Inherent Risk and Residual Risk scores.</t>
  </si>
  <si>
    <t>5. The 'Risk Matrix' tab provides the visual 5x5 risk matrix for reference.</t>
  </si>
  <si>
    <t>6. The 'Control Catalog' tab lists all 107 controls with priority, applicability, and mapping.</t>
  </si>
  <si>
    <t>SCORING MODEL</t>
  </si>
  <si>
    <t xml:space="preserve">  Inherent Risk = Impact Score x Likelihood Score  (before any controls are applied)</t>
  </si>
  <si>
    <t xml:space="preserve">  Residual Risk = Inherent Risk x (1 - Control Effectiveness %)  (after controls)</t>
  </si>
  <si>
    <t xml:space="preserve">  Impact (1-5): derived from Confidentiality, Integrity, Availability, Personal Data, Business Criticality, UNECE relevance</t>
  </si>
  <si>
    <t xml:space="preserve">  Likelihood (1-5): derived from Exposure, System Age, AI Integration Depth, Data Volume, AI Tool Access Scope</t>
  </si>
  <si>
    <t xml:space="preserve">  Control Effectiveness %: weighted ratio of implemented controls (P1=weight 3, P2=weight 2, P3=weight 1)</t>
  </si>
  <si>
    <t>RISK LEVELS</t>
  </si>
  <si>
    <t xml:space="preserve">  Critical (20-25): Unacceptable. AI implementation MUST NOT proceed without full P1+P2+P3 controls and CISO+DPO approval.</t>
  </si>
  <si>
    <t xml:space="preserve">  High (12-19): Significant. ALL P1 controls mandatory. P2 strongly recommended. Formal risk acceptance required.</t>
  </si>
  <si>
    <t xml:space="preserve">  Medium (6-11): Moderate. P1 controls mandatory. P2 recommended. Standard approval process.</t>
  </si>
  <si>
    <t xml:space="preserve">  Low (1-5): Acceptable. Standard guardrails (P1 operational) sufficient. Self-service approval.</t>
  </si>
  <si>
    <t>CONTROL REQUIREMENT BY RISK LEVEL</t>
  </si>
  <si>
    <t xml:space="preserve">  Critical Risk: P1 Mandatory + P2 Mandatory + P3 Mandatory | CISO+DPO+CTO approval | Full DPIA | Quarterly review</t>
  </si>
  <si>
    <t xml:space="preserve">  High Risk:    P1 Mandatory + P2 Mandatory + P3 Recommended | CISO approval | DPIA if PD | Semi-annual review</t>
  </si>
  <si>
    <t xml:space="preserve">  Medium Risk:  P1 Mandatory + P2 Recommended + P3 Optional | Tech Lead approval | DPIA if sensitive PD | Annual review</t>
  </si>
  <si>
    <t xml:space="preserve">  Low Risk:     P1 Mandatory + P2 Optional + P3 Optional | Self-service | No DPIA unless Art.9 | Annual review</t>
  </si>
  <si>
    <t>DATA CLASSIFICATION MAPPING</t>
  </si>
  <si>
    <t xml:space="preserve">  Public (1): Information approved for public release. AI use unrestricted with standard output review.</t>
  </si>
  <si>
    <t xml:space="preserve">  Internal (2): General business info not for public release. Permitted with DLP scanning + audit.</t>
  </si>
  <si>
    <t xml:space="preserve">  Confidential (3): Sensitive business data, IP, customer data, PII. Requires DLP + PII redaction + approval.</t>
  </si>
  <si>
    <t xml:space="preserve">  Restricted (4): Trade secrets, Art.9 special category data, security credentials. AI use PROHIBITED.</t>
  </si>
  <si>
    <t>FRAMEWORK ALIGNMENT</t>
  </si>
  <si>
    <t xml:space="preserve">  Google SAIF | CSA AI Controls | MITRE ATLAS | NIST AI RMF 1.0 | ISO/IEC 42001:2023</t>
  </si>
  <si>
    <t xml:space="preserve">  OWASP Top 10 for LLM (2025) | OWASP AI Exchange | OWASP Agentic Security | OWASP GenAI Data Security (2026)</t>
  </si>
  <si>
    <t xml:space="preserve">  Anthropic Zero Trust for AI Agents | Anthropic LLM Code Security</t>
  </si>
  <si>
    <t>AI RISK ASSESSMENT</t>
  </si>
  <si>
    <t>System/Application Name:</t>
  </si>
  <si>
    <t>Assessment Date:</t>
  </si>
  <si>
    <t>Assessor:</t>
  </si>
  <si>
    <t>Business Unit / Owner:</t>
  </si>
  <si>
    <t>SECTION 1: IMPACT FACTORS (Information Classification)</t>
  </si>
  <si>
    <t>Factor</t>
  </si>
  <si>
    <t>Selection</t>
  </si>
  <si>
    <t>Score</t>
  </si>
  <si>
    <t>Scoring Guide</t>
  </si>
  <si>
    <t>Confidentiality Level</t>
  </si>
  <si>
    <t>Public=1 | Internal=2 | Confidential=3 | Restricted=4</t>
  </si>
  <si>
    <t>Integrity Level</t>
  </si>
  <si>
    <t>Low=1 | Medium=2 | High=3 | Very High=4</t>
  </si>
  <si>
    <t>Availability Level</t>
  </si>
  <si>
    <t>Low=1 | Medium=2 | High=3 | Mission-Critical=4</t>
  </si>
  <si>
    <t>Personal Data Processing</t>
  </si>
  <si>
    <t>None=0 | Regular PD (names, emails)=2 | Sensitive Art.9 (health, biometric, ethnic)=4</t>
  </si>
  <si>
    <t>Business Criticality</t>
  </si>
  <si>
    <t>Supporting=1 | Important=2 | Critical=3 | Mission-Essential=4</t>
  </si>
  <si>
    <t>UNECE R155/R156 (carIT)</t>
  </si>
  <si>
    <t>No=0 | Indirect (supply chain)=1 | Direct (vehicle systems)=2</t>
  </si>
  <si>
    <t>SECTION 2: LIKELIHOOD FACTORS (Threat &amp; Exposure)</t>
  </si>
  <si>
    <t>Exposure / Attack Surface</t>
  </si>
  <si>
    <t>Intranet=1 | B2B/Partner=2 | Internet-facing=3</t>
  </si>
  <si>
    <t>System Age / Technology</t>
  </si>
  <si>
    <t>Forefront=1 | Current=2 | Legacy=3 | End-of-Life=4</t>
  </si>
  <si>
    <t>AI Integration Depth</t>
  </si>
  <si>
    <t>Isolated=1 | Workflow=2 | Autonomous=3 | Multi-agent=4</t>
  </si>
  <si>
    <t>Data Volume Processed by AI</t>
  </si>
  <si>
    <t>Minimal=1 | Moderate=2 | Large=3 | Massive=4</t>
  </si>
  <si>
    <t>AI Tool Access Scope</t>
  </si>
  <si>
    <t>Read-only=1 | Read+Write=2 | Shell=3 | Full access=4</t>
  </si>
  <si>
    <t>SECTION 3: RISK CALCULATION</t>
  </si>
  <si>
    <t>Metric</t>
  </si>
  <si>
    <t>Level</t>
  </si>
  <si>
    <t>Description</t>
  </si>
  <si>
    <t>IMPACT SCORE</t>
  </si>
  <si>
    <t>Normalized 1-5 from classification factors (max raw=22)</t>
  </si>
  <si>
    <t>LIKELIHOOD SCORE</t>
  </si>
  <si>
    <t>Normalized 1-5 from exposure/threat factors (max raw=19)</t>
  </si>
  <si>
    <t>INHERENT RISK</t>
  </si>
  <si>
    <t>Impact x Likelihood (before controls)</t>
  </si>
  <si>
    <t>CONTROL EFFECTIVENESS</t>
  </si>
  <si>
    <t>Weighted % of implemented controls (from 'Control Selection' tab)</t>
  </si>
  <si>
    <t>RESIDUAL RISK</t>
  </si>
  <si>
    <t>Inherent Risk x (1 - Control Effectiveness). This is your final risk score.</t>
  </si>
  <si>
    <t>SECTION 4: AUTOMATED RECOMMENDATIONS</t>
  </si>
  <si>
    <t>Required Control Tier:</t>
  </si>
  <si>
    <t>Data Tier (Framework Sec.3):</t>
  </si>
  <si>
    <t>GDPR Requirement:</t>
  </si>
  <si>
    <t>UNECE / carIT:</t>
  </si>
  <si>
    <t>AI-Specific Risks:</t>
  </si>
  <si>
    <t>SUMMARY</t>
  </si>
  <si>
    <t>Total Controls:</t>
  </si>
  <si>
    <t>Implemented:</t>
  </si>
  <si>
    <t>Not Impl.:</t>
  </si>
  <si>
    <t>EFFECTIVENESS</t>
  </si>
  <si>
    <t>Weighted Score:</t>
  </si>
  <si>
    <t>Max Possible:</t>
  </si>
  <si>
    <t>Effectiveness:</t>
  </si>
  <si>
    <t>Control ID</t>
  </si>
  <si>
    <t>Control Description</t>
  </si>
  <si>
    <t>Priority</t>
  </si>
  <si>
    <t>Applicability</t>
  </si>
  <si>
    <t>Risk Domain</t>
  </si>
  <si>
    <t>Implemented?</t>
  </si>
  <si>
    <t>Weight</t>
  </si>
  <si>
    <t>Notes</t>
  </si>
  <si>
    <t>PI-01</t>
  </si>
  <si>
    <t>Input sanitization and validation layer</t>
  </si>
  <si>
    <t>P1 - Critical</t>
  </si>
  <si>
    <t>All tiers</t>
  </si>
  <si>
    <t>Prompt Injection</t>
  </si>
  <si>
    <t>PI-02</t>
  </si>
  <si>
    <t>System prompt isolation (architectural separation)</t>
  </si>
  <si>
    <t>PI-03</t>
  </si>
  <si>
    <t>Injection attempt detection and alerting</t>
  </si>
  <si>
    <t>PI-04</t>
  </si>
  <si>
    <t>Instruction hierarchy enforcement</t>
  </si>
  <si>
    <t>P2 - High</t>
  </si>
  <si>
    <t>PI-05</t>
  </si>
  <si>
    <t>Output guardrails (block policy violations in responses)</t>
  </si>
  <si>
    <t>PI-06</t>
  </si>
  <si>
    <t>Rate limiting on suspicious interaction patterns</t>
  </si>
  <si>
    <t>PI-07</t>
  </si>
  <si>
    <t>Quarterly adversarial red-teaming exercises</t>
  </si>
  <si>
    <t>PI-08</t>
  </si>
  <si>
    <t>Real-time SIEM integration for injection signatures</t>
  </si>
  <si>
    <t>DL-01</t>
  </si>
  <si>
    <t>Pre-transmission DLP scanning of all prompts</t>
  </si>
  <si>
    <t>Internal+</t>
  </si>
  <si>
    <t>Data Leakage</t>
  </si>
  <si>
    <t>DL-02</t>
  </si>
  <si>
    <t>Secret detection (regex + entropy-based) on prompt content</t>
  </si>
  <si>
    <t>DL-03</t>
  </si>
  <si>
    <t>Automated data classification tagging of repos/files</t>
  </si>
  <si>
    <t>DL-04</t>
  </si>
  <si>
    <t>Network egress filtering through DLP-enabled proxy</t>
  </si>
  <si>
    <t>Confidential+</t>
  </si>
  <si>
    <t>DL-05</t>
  </si>
  <si>
    <t>PII tokenization/anonymization before AI processing</t>
  </si>
  <si>
    <t>DL-06</t>
  </si>
  <si>
    <t>Context scope limitation (file/function vs. full repo)</t>
  </si>
  <si>
    <t>DL-07</t>
  </si>
  <si>
    <t>Output scanning for leaked secrets/PII before display</t>
  </si>
  <si>
    <t>DL-08</t>
  </si>
  <si>
    <t>Prompt/response retention TTL enforcement</t>
  </si>
  <si>
    <t>DL-09</t>
  </si>
  <si>
    <t>End-to-end encryption with customer-managed keys</t>
  </si>
  <si>
    <t>DL-10</t>
  </si>
  <si>
    <t>AI tool permissions bounded by developer access level</t>
  </si>
  <si>
    <t>CE-01</t>
  </si>
  <si>
    <t>Sandboxed/containerized execution environment</t>
  </si>
  <si>
    <t>Unauthorized Execution</t>
  </si>
  <si>
    <t>CE-02</t>
  </si>
  <si>
    <t>Explicit human approval gate before any execution</t>
  </si>
  <si>
    <t>CE-03</t>
  </si>
  <si>
    <t>Command allowlist (deny by default)</t>
  </si>
  <si>
    <t>CE-04</t>
  </si>
  <si>
    <t>Least-privilege permission model for AI agents</t>
  </si>
  <si>
    <t>CE-05</t>
  </si>
  <si>
    <t>Emergency kill switch (immediate termination)</t>
  </si>
  <si>
    <t>CE-06</t>
  </si>
  <si>
    <t>Full command execution audit trail</t>
  </si>
  <si>
    <t>CE-07</t>
  </si>
  <si>
    <t>Hard timeout on all AI-initiated processes</t>
  </si>
  <si>
    <t>CE-08</t>
  </si>
  <si>
    <t>Working directory restriction (approved paths only)</t>
  </si>
  <si>
    <t>SC-01</t>
  </si>
  <si>
    <t>SAST/SCA scanning of all AI-suggested code</t>
  </si>
  <si>
    <t>Supply Chain</t>
  </si>
  <si>
    <t>SC-02</t>
  </si>
  <si>
    <t>Dependency verification (allowlist, signatures, checksums)</t>
  </si>
  <si>
    <t>SC-03</t>
  </si>
  <si>
    <t>Package existence verification (anti-hallucination)</t>
  </si>
  <si>
    <t>SC-04</t>
  </si>
  <si>
    <t>Mandatory human code review for all AI-generated code</t>
  </si>
  <si>
    <t>SC-05</t>
  </si>
  <si>
    <t>Malicious pattern detection in suggestions</t>
  </si>
  <si>
    <t>SC-06</t>
  </si>
  <si>
    <t>AI attribution metadata (provenance tagging)</t>
  </si>
  <si>
    <t>SC-07</t>
  </si>
  <si>
    <t>Periodic vendor security assessment (SOC 2, pen test)</t>
  </si>
  <si>
    <t>SC-08</t>
  </si>
  <si>
    <t>Model integrity verification (self-hosted)</t>
  </si>
  <si>
    <t>P3 - Medium</t>
  </si>
  <si>
    <t>HO-01</t>
  </si>
  <si>
    <t>Tiered approval workflow (risk-based)</t>
  </si>
  <si>
    <t>Human Oversight</t>
  </si>
  <si>
    <t>HO-02</t>
  </si>
  <si>
    <t>Automated PR labeling for AI-generated code</t>
  </si>
  <si>
    <t>HO-03</t>
  </si>
  <si>
    <t>Clear visual indicators of AI vs. human code</t>
  </si>
  <si>
    <t>HO-04</t>
  </si>
  <si>
    <t>Human override capability at all stages</t>
  </si>
  <si>
    <t>HO-05</t>
  </si>
  <si>
    <t>Auto-escalation to security team for sensitive ops</t>
  </si>
  <si>
    <t>HO-06</t>
  </si>
  <si>
    <t>Mandatory developer AI literacy training</t>
  </si>
  <si>
    <t>HO-07</t>
  </si>
  <si>
    <t>Oversight effectiveness KPIs and reporting</t>
  </si>
  <si>
    <t>GD-01</t>
  </si>
  <si>
    <t>Purpose limitation: only task-necessary data to AI</t>
  </si>
  <si>
    <t>GDPR &amp; Privacy</t>
  </si>
  <si>
    <t>GD-02</t>
  </si>
  <si>
    <t>Automated PII stripping from prompts</t>
  </si>
  <si>
    <t>GD-03</t>
  </si>
  <si>
    <t>Developer consent workflow for data processing</t>
  </si>
  <si>
    <t>GD-04</t>
  </si>
  <si>
    <t>Automated retention limit enforcement (max 30 days)</t>
  </si>
  <si>
    <t>GD-05</t>
  </si>
  <si>
    <t>Right-to-erasure mechanism (deletion API)</t>
  </si>
  <si>
    <t>GD-06</t>
  </si>
  <si>
    <t>DPIA auto-trigger for new data category access</t>
  </si>
  <si>
    <t>GD-07</t>
  </si>
  <si>
    <t>Code anonymization before AI processing</t>
  </si>
  <si>
    <t>GD-08</t>
  </si>
  <si>
    <t>EU data residency enforcement</t>
  </si>
  <si>
    <t>GD-09</t>
  </si>
  <si>
    <t>Article 30 processing records maintenance</t>
  </si>
  <si>
    <t>GD-10</t>
  </si>
  <si>
    <t>Data Processing Agreements with AI providers (inc. SCCs)</t>
  </si>
  <si>
    <t>AI-01</t>
  </si>
  <si>
    <t>Per-agent identity issuance (PKI-backed)</t>
  </si>
  <si>
    <t>Agent Identity</t>
  </si>
  <si>
    <t>AI-02</t>
  </si>
  <si>
    <t>Task-scoped, time-bound credentials (JIT access)</t>
  </si>
  <si>
    <t>AI-03</t>
  </si>
  <si>
    <t>NHI lifecycle governance and inventory</t>
  </si>
  <si>
    <t>AI-04</t>
  </si>
  <si>
    <t>Credential inheritance chain breaking (no token forwarding)</t>
  </si>
  <si>
    <t>AI-05</t>
  </si>
  <si>
    <t>Secret vault enforcement (no credentials in prompts/memory/logs)</t>
  </si>
  <si>
    <t>AI-06</t>
  </si>
  <si>
    <t>Immutable access logs for all agent-driven data access</t>
  </si>
  <si>
    <t>AI-07</t>
  </si>
  <si>
    <t>Anomaly detection on agent credential usage patterns</t>
  </si>
  <si>
    <t>SA-01</t>
  </si>
  <si>
    <t>Shadow AI policy: allowed vs. prohibited tools</t>
  </si>
  <si>
    <t>Shadow AI</t>
  </si>
  <si>
    <t>SA-02</t>
  </si>
  <si>
    <t>Central AI service catalog with security/privacy review gate</t>
  </si>
  <si>
    <t>SA-03</t>
  </si>
  <si>
    <t>DLP and CASB controls detecting uploads to unapproved AI endpoints</t>
  </si>
  <si>
    <t>SA-04</t>
  </si>
  <si>
    <t>Governed enterprise AI alternatives (logged, region-pinned)</t>
  </si>
  <si>
    <t>SA-05</t>
  </si>
  <si>
    <t>Continuous shadow AI discovery (endpoint, network, SaaS logs)</t>
  </si>
  <si>
    <t>SA-06</t>
  </si>
  <si>
    <t>AI procurement integration (security review at vendor onboarding)</t>
  </si>
  <si>
    <t>SA-07</t>
  </si>
  <si>
    <t>SaaS security maturity assessment for AI hosting environments</t>
  </si>
  <si>
    <t>TE-01</t>
  </si>
  <si>
    <t>Plugin/tool payload minimization (no full transcript forwarding)</t>
  </si>
  <si>
    <t>Tool/Plugin Exchange</t>
  </si>
  <si>
    <t>TE-02</t>
  </si>
  <si>
    <t>Mutual authentication and message signing for A2A/MCP</t>
  </si>
  <si>
    <t>TE-03</t>
  </si>
  <si>
    <t>Plugin allow-list with periodic re-validation (post-update vetting)</t>
  </si>
  <si>
    <t>TE-04</t>
  </si>
  <si>
    <t>Data flow tagging across tool boundaries (lineage tracking)</t>
  </si>
  <si>
    <t>TE-05</t>
  </si>
  <si>
    <t>Encrypted transport enforcement for all plugin/tool communications</t>
  </si>
  <si>
    <t>TE-06</t>
  </si>
  <si>
    <t>MCP server privilege restriction (no elevated host permissions)</t>
  </si>
  <si>
    <t>TE-07</t>
  </si>
  <si>
    <t>Sub-agent data isolation (prevent lateral data access)</t>
  </si>
  <si>
    <t>MC-01</t>
  </si>
  <si>
    <t>Multimodal uploads classified as high-sensitivity by default</t>
  </si>
  <si>
    <t>Multimodal &amp; Context</t>
  </si>
  <si>
    <t>MC-02</t>
  </si>
  <si>
    <t>OCR/ASR-based PII and secret detection on visual/audio inputs</t>
  </si>
  <si>
    <t>MC-03</t>
  </si>
  <si>
    <t>Derivative classification propagation (OCR text carries source class)</t>
  </si>
  <si>
    <t>MC-04</t>
  </si>
  <si>
    <t>Context window scope enforcement (file/function, not full repo)</t>
  </si>
  <si>
    <t>MC-05</t>
  </si>
  <si>
    <t>Markdown image rendering to external URLs blocked</t>
  </si>
  <si>
    <t>MC-06</t>
  </si>
  <si>
    <t>Short TTLs for transient multimodal storage (auto-deletion)</t>
  </si>
  <si>
    <t>MC-07</t>
  </si>
  <si>
    <t>Training opt-out for user-provided multimodal content</t>
  </si>
  <si>
    <t>EA-01</t>
  </si>
  <si>
    <t>AI extension/plugin enterprise allow-list (MDM/browser policy)</t>
  </si>
  <si>
    <t>Endpoint Overreach</t>
  </si>
  <si>
    <t>EA-02</t>
  </si>
  <si>
    <t>Permission minimization for IDE/browser AI extensions</t>
  </si>
  <si>
    <t>EA-03</t>
  </si>
  <si>
    <t>EDR/DLP rules tuned for AI extension exfiltration patterns</t>
  </si>
  <si>
    <t>EA-04</t>
  </si>
  <si>
    <t>Telemetry domain monitoring and blocking for AI extensions</t>
  </si>
  <si>
    <t>EA-05</t>
  </si>
  <si>
    <t>Extension sandbox assessment before approval</t>
  </si>
  <si>
    <t>EA-06</t>
  </si>
  <si>
    <t>Sensitive context segregation guidance</t>
  </si>
  <si>
    <t>SI-01</t>
  </si>
  <si>
    <t>Per-user/per-session context isolation (no cross-session bleed)</t>
  </si>
  <si>
    <t>Session &amp; Inference</t>
  </si>
  <si>
    <t>SI-02</t>
  </si>
  <si>
    <t>Rate limiting and query budgeting to prevent extraction</t>
  </si>
  <si>
    <t>SI-03</t>
  </si>
  <si>
    <t>Output confidence bounding (no raw logits/probability exposure)</t>
  </si>
  <si>
    <t>SI-04</t>
  </si>
  <si>
    <t>Vector store ACLs and k-NN query restrictions</t>
  </si>
  <si>
    <t>SI-05</t>
  </si>
  <si>
    <t>Embedding noise injection / dimensionality reduction</t>
  </si>
  <si>
    <t>SI-06</t>
  </si>
  <si>
    <t>Membership inference audit of fine-tuned models/adapters</t>
  </si>
  <si>
    <t>SI-07</t>
  </si>
  <si>
    <t>Shared workspace session memory purge on context switch</t>
  </si>
  <si>
    <t>MP-01</t>
  </si>
  <si>
    <t>Persistent memory integrity validation (detect tampering/injection)</t>
  </si>
  <si>
    <t>Memory Poisoning</t>
  </si>
  <si>
    <t>MP-02</t>
  </si>
  <si>
    <t>Memory write authorization gate (verified sources only)</t>
  </si>
  <si>
    <t>MP-03</t>
  </si>
  <si>
    <t>Cross-session memory isolation (no poisoning propagation)</t>
  </si>
  <si>
    <t>MP-04</t>
  </si>
  <si>
    <t>Memory provenance tracking (source attribution)</t>
  </si>
  <si>
    <t>MP-05</t>
  </si>
  <si>
    <t>Agentic SOAR: AI-speed detection and response</t>
  </si>
  <si>
    <t>MP-06</t>
  </si>
  <si>
    <t>Incident response SLA adjustment for AI-accelerated attacks</t>
  </si>
  <si>
    <t>MP-07</t>
  </si>
  <si>
    <t>Automated agent quarantine on anomalous behavior</t>
  </si>
  <si>
    <t>ST-01</t>
  </si>
  <si>
    <t>Security scanning agents sandboxed with no network during scan</t>
  </si>
  <si>
    <t>AI Security Tool</t>
  </si>
  <si>
    <t>ST-02</t>
  </si>
  <si>
    <t>Scanning agent credential isolation (no ~/.aws, ~/.ssh, .env)</t>
  </si>
  <si>
    <t>ST-03</t>
  </si>
  <si>
    <t>Repository THREAT_MODEL.md defining trust boundaries</t>
  </si>
  <si>
    <t>ST-04</t>
  </si>
  <si>
    <t>Independent verification agents (no shared context)</t>
  </si>
  <si>
    <t>ST-05</t>
  </si>
  <si>
    <t>Vulnerability deduplication and severity calibration</t>
  </si>
  <si>
    <t>ST-06</t>
  </si>
  <si>
    <t>Test-driven patching: failing test before fix implementation</t>
  </si>
  <si>
    <t>ST-07</t>
  </si>
  <si>
    <t>Re-attack validation: adversarial agent probes patch</t>
  </si>
  <si>
    <t>ST-08</t>
  </si>
  <si>
    <t>Variant analysis trigger on confirmed vulnerability</t>
  </si>
  <si>
    <t>5x5 RISK MATRIX</t>
  </si>
  <si>
    <t>Impact \ Likelihood</t>
  </si>
  <si>
    <t>1 - Unlikely</t>
  </si>
  <si>
    <t>2 - Possible</t>
  </si>
  <si>
    <t>3 - Likely</t>
  </si>
  <si>
    <t>4 - Very Likely</t>
  </si>
  <si>
    <t>5 - Almost Certain</t>
  </si>
  <si>
    <t>5 - Critical</t>
  </si>
  <si>
    <t>4 - High</t>
  </si>
  <si>
    <t>3 - Medium</t>
  </si>
  <si>
    <t>2 - Low</t>
  </si>
  <si>
    <t>1 - Negligible</t>
  </si>
  <si>
    <t>CRITICAL (20-25)</t>
  </si>
  <si>
    <t>AI implementation PROHIBITED without full controls + CISO/DPO/CTO approval</t>
  </si>
  <si>
    <t>HIGH (12-19)</t>
  </si>
  <si>
    <t>All P1 mandatory, P2 strongly recommended. Formal risk acceptance.</t>
  </si>
  <si>
    <t>MEDIUM (6-11)</t>
  </si>
  <si>
    <t>P1 mandatory, P2 recommended. Standard approval.</t>
  </si>
  <si>
    <t>LOW (1-5)</t>
  </si>
  <si>
    <t>Standard guardrails. Self-service approval.</t>
  </si>
  <si>
    <t>CONTROL REQUIREMENTS BY RISK LEVEL</t>
  </si>
  <si>
    <t>Risk Level</t>
  </si>
  <si>
    <t>P1 (Critical)</t>
  </si>
  <si>
    <t>P2 (High)</t>
  </si>
  <si>
    <t>P3 (Medium)</t>
  </si>
  <si>
    <t>Approval</t>
  </si>
  <si>
    <t>Review Cycle</t>
  </si>
  <si>
    <t>Critical (20-25)</t>
  </si>
  <si>
    <t>MANDATORY</t>
  </si>
  <si>
    <t>CISO+DPO+CTO</t>
  </si>
  <si>
    <t>Quarterly</t>
  </si>
  <si>
    <t>High (12-19)</t>
  </si>
  <si>
    <t>Recommended</t>
  </si>
  <si>
    <t>CISO</t>
  </si>
  <si>
    <t>Semi-annual</t>
  </si>
  <si>
    <t>Medium (6-11)</t>
  </si>
  <si>
    <t>Optional</t>
  </si>
  <si>
    <t>Tech Lead</t>
  </si>
  <si>
    <t>Annual</t>
  </si>
  <si>
    <t>Low (1-5)</t>
  </si>
  <si>
    <t>Self-service</t>
  </si>
  <si>
    <t>Requirement</t>
  </si>
  <si>
    <t>Mandatory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</si>
</sst>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color rgb="FF1F4E79"/>
      <name val="Calibri"/>
    </font>
    <font>
      <i/>
      <sz val="11"/>
      <color rgb="FF1F4E79"/>
      <name val="Calibri"/>
    </font>
    <font>
      <b/>
      <sz val="12"/>
      <name val="Calibri"/>
    </font>
    <font>
      <b/>
      <sz val="14"/>
      <color rgb="FF1F4E79"/>
      <name val="Calibri"/>
    </font>
    <font>
      <b/>
      <sz val="10"/>
      <name val="Calibri"/>
    </font>
    <font>
      <b/>
      <sz val="12"/>
      <color rgb="FF1F4E79"/>
      <name val="Calibri"/>
    </font>
    <font>
      <b/>
      <sz val="11"/>
      <color rgb="FFFFFFFF"/>
      <name val="Calibri"/>
    </font>
    <font>
      <b/>
      <sz val="11"/>
      <name val="Calibri"/>
    </font>
    <font>
      <b/>
      <sz val="12"/>
      <name val="Calibri"/>
    </font>
    <font>
      <b/>
      <sz val="13"/>
      <color rgb="FFC00000"/>
      <name val="Calibri"/>
    </font>
    <font>
      <b/>
      <sz val="11"/>
      <color rgb="FF1F4E79"/>
      <name val="Calibri"/>
    </font>
    <font>
      <b/>
      <sz val="14"/>
      <color rgb="FF1F4E79"/>
      <name val="Calibri"/>
    </font>
    <font>
      <b/>
      <sz val="14"/>
      <name val="Calibri"/>
    </font>
    <font>
      <b/>
      <sz val="14"/>
      <color rgb="FFFFFFFF"/>
      <name val="Calibri"/>
    </font>
    <font>
      <b/>
      <sz val="11"/>
      <color rgb="FFFFFFFF"/>
      <name val="Calibri"/>
    </font>
  </fonts>
  <fills count="10">
    <fill>
      <patternFill patternType="none"/>
    </fill>
    <fill>
      <patternFill patternType="gray125"/>
    </fill>
    <fill>
      <patternFill patternType="solid">
        <fgColor rgb="FFFFF2CC"/>
        <bgColor rgb="FFFFF2CC"/>
      </patternFill>
    </fill>
    <fill>
      <patternFill patternType="solid">
        <fgColor rgb="FF1F4E79"/>
        <bgColor rgb="FF1F4E79"/>
      </patternFill>
    </fill>
    <fill>
      <patternFill patternType="solid">
        <fgColor rgb="FFE2EFDA"/>
        <bgColor rgb="FFE2EFDA"/>
      </patternFill>
    </fill>
    <fill>
      <patternFill patternType="solid">
        <fgColor rgb="FFD6E4F0"/>
        <bgColor rgb="FFD6E4F0"/>
      </patternFill>
    </fill>
    <fill>
      <patternFill patternType="solid">
        <fgColor rgb="FF92D050"/>
        <bgColor rgb="FF92D050"/>
      </patternFill>
    </fill>
    <fill>
      <patternFill patternType="solid">
        <fgColor rgb="FFFFFF00"/>
        <bgColor rgb="FFFFFF00"/>
      </patternFill>
    </fill>
    <fill>
      <patternFill patternType="solid">
        <fgColor rgb="FFFFA500"/>
        <bgColor rgb="FFFFA500"/>
      </patternFill>
    </fill>
    <fill>
      <patternFill patternType="solid">
        <fgColor rgb="FFFF0000"/>
        <b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2" borderId="0" xfId="0" applyFill="1"/>
    <xf numFmtId="0" fontId="6" fillId="0" borderId="0" xfId="0" applyFont="1"/>
    <xf numFmtId="0" fontId="7" fillId="3" borderId="1" xfId="0" applyFont="1" applyFill="1" applyBorder="1" applyAlignment="1">
      <alignment horizontal="center" vertical="center" wrapText="1"/>
    </xf>
    <xf numFmtId="0" fontId="5" fillId="0" borderId="1" xfId="0" applyFont="1" applyBorder="1"/>
    <xf numFmtId="0" fontId="0" fillId="2" borderId="1" xfId="0" applyFill="1" applyBorder="1"/>
    <xf numFmtId="0" fontId="0" fillId="4" borderId="1" xfId="0" applyFill="1" applyBorder="1"/>
    <xf numFmtId="0" fontId="0" fillId="0" borderId="1" xfId="0" applyBorder="1"/>
    <xf numFmtId="0" fontId="8" fillId="0" borderId="1" xfId="0" applyFont="1" applyBorder="1"/>
    <xf numFmtId="0" fontId="9" fillId="0" borderId="1" xfId="0" applyFont="1" applyBorder="1"/>
    <xf numFmtId="0" fontId="9" fillId="4" borderId="1" xfId="0" applyFont="1" applyFill="1" applyBorder="1"/>
    <xf numFmtId="9" fontId="0" fillId="4" borderId="1" xfId="0" applyNumberFormat="1" applyFill="1" applyBorder="1"/>
    <xf numFmtId="0" fontId="10" fillId="0" borderId="1" xfId="0" applyFont="1" applyBorder="1"/>
    <xf numFmtId="0" fontId="10" fillId="4" borderId="1" xfId="0" applyFont="1" applyFill="1" applyBorder="1"/>
    <xf numFmtId="0" fontId="11" fillId="0" borderId="0" xfId="0" applyFont="1"/>
    <xf numFmtId="9" fontId="9" fillId="4" borderId="0" xfId="0" applyNumberFormat="1" applyFont="1" applyFill="1"/>
    <xf numFmtId="9" fontId="12" fillId="4" borderId="0" xfId="0" applyNumberFormat="1" applyFont="1" applyFill="1"/>
    <xf numFmtId="0" fontId="12" fillId="0" borderId="0" xfId="0" applyFont="1"/>
    <xf numFmtId="0" fontId="8" fillId="5" borderId="0" xfId="0" applyFont="1" applyFill="1"/>
    <xf numFmtId="0" fontId="13" fillId="6"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8" borderId="1" xfId="0" applyFont="1" applyFill="1" applyBorder="1" applyAlignment="1">
      <alignment horizontal="center" vertical="center"/>
    </xf>
    <xf numFmtId="0" fontId="14" fillId="9" borderId="1" xfId="0" applyFont="1" applyFill="1" applyBorder="1" applyAlignment="1">
      <alignment horizontal="center" vertical="center"/>
    </xf>
    <xf numFmtId="0" fontId="9" fillId="0" borderId="0" xfId="0" applyFont="1"/>
    <xf numFmtId="0" fontId="15" fillId="9" borderId="0" xfId="0" applyFont="1" applyFill="1"/>
    <xf numFmtId="0" fontId="8" fillId="8" borderId="0" xfId="0" applyFont="1" applyFill="1"/>
    <xf numFmtId="0" fontId="8" fillId="7" borderId="0" xfId="0" applyFont="1" applyFill="1"/>
    <xf numFmtId="0" fontId="8" fillId="6" borderId="0" xfId="0" applyFont="1" applyFill="1"/>
    <xf numFmtId="0" fontId="0" fillId="0" borderId="1" xfId="0" applyBorder="1" applyAlignment="1">
      <alignment horizontal="center"/>
    </xf>
    <xf numFmtId="0" fontId="0" fillId="0" borderId="1" xfId="0" applyBorder="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4"/>
  <sheetViews>
    <sheetView tabSelected="1" topLeftCell="A30" workbookViewId="0">
      <selection activeCell="A4" sqref="A4"/>
    </sheetView>
  </sheetViews>
  <sheetFormatPr defaultRowHeight="14.4" x14ac:dyDescent="0.3"/>
  <cols>
    <col min="1" max="1" width="110" customWidth="1"/>
  </cols>
  <sheetData>
    <row r="1" spans="1:1" ht="21" x14ac:dyDescent="0.4">
      <c r="A1" s="1" t="s">
        <v>0</v>
      </c>
    </row>
    <row r="2" spans="1:1" x14ac:dyDescent="0.3">
      <c r="A2" s="2" t="s">
        <v>1</v>
      </c>
    </row>
    <row r="4" spans="1:1" ht="15.6" x14ac:dyDescent="0.3">
      <c r="A4" s="3" t="s">
        <v>2</v>
      </c>
    </row>
    <row r="5" spans="1:1" x14ac:dyDescent="0.3">
      <c r="A5" t="s">
        <v>3</v>
      </c>
    </row>
    <row r="6" spans="1:1" x14ac:dyDescent="0.3">
      <c r="A6" t="s">
        <v>4</v>
      </c>
    </row>
    <row r="8" spans="1:1" ht="15.6" x14ac:dyDescent="0.3">
      <c r="A8" s="3" t="s">
        <v>5</v>
      </c>
    </row>
    <row r="9" spans="1:1" x14ac:dyDescent="0.3">
      <c r="A9" t="s">
        <v>6</v>
      </c>
    </row>
    <row r="10" spans="1:1" x14ac:dyDescent="0.3">
      <c r="A10" t="s">
        <v>7</v>
      </c>
    </row>
    <row r="11" spans="1:1" x14ac:dyDescent="0.3">
      <c r="A11" t="s">
        <v>8</v>
      </c>
    </row>
    <row r="12" spans="1:1" x14ac:dyDescent="0.3">
      <c r="A12" t="s">
        <v>9</v>
      </c>
    </row>
    <row r="13" spans="1:1" x14ac:dyDescent="0.3">
      <c r="A13" t="s">
        <v>10</v>
      </c>
    </row>
    <row r="14" spans="1:1" x14ac:dyDescent="0.3">
      <c r="A14" t="s">
        <v>11</v>
      </c>
    </row>
    <row r="16" spans="1:1" ht="15.6" x14ac:dyDescent="0.3">
      <c r="A16" s="3" t="s">
        <v>12</v>
      </c>
    </row>
    <row r="17" spans="1:1" x14ac:dyDescent="0.3">
      <c r="A17" t="s">
        <v>13</v>
      </c>
    </row>
    <row r="18" spans="1:1" x14ac:dyDescent="0.3">
      <c r="A18" t="s">
        <v>14</v>
      </c>
    </row>
    <row r="19" spans="1:1" x14ac:dyDescent="0.3">
      <c r="A19" t="s">
        <v>15</v>
      </c>
    </row>
    <row r="20" spans="1:1" x14ac:dyDescent="0.3">
      <c r="A20" t="s">
        <v>16</v>
      </c>
    </row>
    <row r="21" spans="1:1" x14ac:dyDescent="0.3">
      <c r="A21" t="s">
        <v>17</v>
      </c>
    </row>
    <row r="23" spans="1:1" ht="15.6" x14ac:dyDescent="0.3">
      <c r="A23" s="3" t="s">
        <v>18</v>
      </c>
    </row>
    <row r="24" spans="1:1" x14ac:dyDescent="0.3">
      <c r="A24" t="s">
        <v>19</v>
      </c>
    </row>
    <row r="25" spans="1:1" x14ac:dyDescent="0.3">
      <c r="A25" t="s">
        <v>20</v>
      </c>
    </row>
    <row r="26" spans="1:1" x14ac:dyDescent="0.3">
      <c r="A26" t="s">
        <v>21</v>
      </c>
    </row>
    <row r="27" spans="1:1" x14ac:dyDescent="0.3">
      <c r="A27" t="s">
        <v>22</v>
      </c>
    </row>
    <row r="29" spans="1:1" ht="15.6" x14ac:dyDescent="0.3">
      <c r="A29" s="3" t="s">
        <v>23</v>
      </c>
    </row>
    <row r="30" spans="1:1" x14ac:dyDescent="0.3">
      <c r="A30" t="s">
        <v>24</v>
      </c>
    </row>
    <row r="31" spans="1:1" x14ac:dyDescent="0.3">
      <c r="A31" t="s">
        <v>25</v>
      </c>
    </row>
    <row r="32" spans="1:1" x14ac:dyDescent="0.3">
      <c r="A32" t="s">
        <v>26</v>
      </c>
    </row>
    <row r="33" spans="1:1" x14ac:dyDescent="0.3">
      <c r="A33" t="s">
        <v>27</v>
      </c>
    </row>
    <row r="35" spans="1:1" ht="15.6" x14ac:dyDescent="0.3">
      <c r="A35" s="3" t="s">
        <v>28</v>
      </c>
    </row>
    <row r="36" spans="1:1" x14ac:dyDescent="0.3">
      <c r="A36" t="s">
        <v>29</v>
      </c>
    </row>
    <row r="37" spans="1:1" x14ac:dyDescent="0.3">
      <c r="A37" t="s">
        <v>30</v>
      </c>
    </row>
    <row r="38" spans="1:1" x14ac:dyDescent="0.3">
      <c r="A38" t="s">
        <v>31</v>
      </c>
    </row>
    <row r="39" spans="1:1" x14ac:dyDescent="0.3">
      <c r="A39" t="s">
        <v>32</v>
      </c>
    </row>
    <row r="41" spans="1:1" ht="15.6" x14ac:dyDescent="0.3">
      <c r="A41" s="3" t="s">
        <v>33</v>
      </c>
    </row>
    <row r="42" spans="1:1" x14ac:dyDescent="0.3">
      <c r="A42" t="s">
        <v>34</v>
      </c>
    </row>
    <row r="43" spans="1:1" x14ac:dyDescent="0.3">
      <c r="A43" t="s">
        <v>35</v>
      </c>
    </row>
    <row r="44" spans="1:1" x14ac:dyDescent="0.3">
      <c r="A44" t="s">
        <v>36</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7"/>
  <sheetViews>
    <sheetView workbookViewId="0">
      <selection activeCell="H17" sqref="H17"/>
    </sheetView>
  </sheetViews>
  <sheetFormatPr defaultRowHeight="14.4" x14ac:dyDescent="0.3"/>
  <cols>
    <col min="1" max="1" width="38" customWidth="1"/>
    <col min="2" max="2" width="28" customWidth="1"/>
    <col min="3" max="3" width="12" customWidth="1"/>
    <col min="4" max="4" width="65" customWidth="1"/>
  </cols>
  <sheetData>
    <row r="1" spans="1:4" ht="18" x14ac:dyDescent="0.35">
      <c r="A1" s="4" t="s">
        <v>37</v>
      </c>
    </row>
    <row r="2" spans="1:4" x14ac:dyDescent="0.3">
      <c r="A2" s="5" t="s">
        <v>38</v>
      </c>
      <c r="B2" s="6"/>
    </row>
    <row r="3" spans="1:4" x14ac:dyDescent="0.3">
      <c r="A3" s="5" t="s">
        <v>39</v>
      </c>
      <c r="B3" s="6"/>
    </row>
    <row r="4" spans="1:4" x14ac:dyDescent="0.3">
      <c r="A4" s="5" t="s">
        <v>40</v>
      </c>
      <c r="B4" s="6"/>
    </row>
    <row r="5" spans="1:4" x14ac:dyDescent="0.3">
      <c r="A5" s="5" t="s">
        <v>41</v>
      </c>
      <c r="B5" s="6"/>
    </row>
    <row r="7" spans="1:4" ht="15.6" x14ac:dyDescent="0.3">
      <c r="A7" s="7" t="s">
        <v>42</v>
      </c>
    </row>
    <row r="8" spans="1:4" x14ac:dyDescent="0.3">
      <c r="A8" s="8" t="s">
        <v>43</v>
      </c>
      <c r="B8" s="8" t="s">
        <v>44</v>
      </c>
      <c r="C8" s="8" t="s">
        <v>45</v>
      </c>
      <c r="D8" s="8" t="s">
        <v>46</v>
      </c>
    </row>
    <row r="9" spans="1:4" x14ac:dyDescent="0.3">
      <c r="A9" s="9" t="s">
        <v>47</v>
      </c>
      <c r="B9" s="10"/>
      <c r="C9" s="11" t="str">
        <f>IF(B9="Public",1,IF(B9="Internal",2,IF(B9="Confidential",3,IF(B9="Restricted",4,""))))</f>
        <v/>
      </c>
      <c r="D9" s="12" t="s">
        <v>48</v>
      </c>
    </row>
    <row r="10" spans="1:4" x14ac:dyDescent="0.3">
      <c r="A10" s="9" t="s">
        <v>49</v>
      </c>
      <c r="B10" s="10"/>
      <c r="C10" s="11" t="str">
        <f>IF(B10="Low",1,IF(B10="Medium",2,IF(B10="High",3,IF(B10="Very High",4,""))))</f>
        <v/>
      </c>
      <c r="D10" s="12" t="s">
        <v>50</v>
      </c>
    </row>
    <row r="11" spans="1:4" x14ac:dyDescent="0.3">
      <c r="A11" s="9" t="s">
        <v>51</v>
      </c>
      <c r="B11" s="10"/>
      <c r="C11" s="11" t="str">
        <f>IF(B11="Low",1,IF(B11="Medium",2,IF(B11="High",3,IF(B11="Mission-Critical",4,""))))</f>
        <v/>
      </c>
      <c r="D11" s="12" t="s">
        <v>52</v>
      </c>
    </row>
    <row r="12" spans="1:4" x14ac:dyDescent="0.3">
      <c r="A12" s="9" t="s">
        <v>53</v>
      </c>
      <c r="B12" s="10"/>
      <c r="C12" s="11" t="str">
        <f>IF(B12="None",0,IF(B12="Regular Personal Data",2,IF(B12="Sensitive PD (Art.9 GDPR)",4,"")))</f>
        <v/>
      </c>
      <c r="D12" s="12" t="s">
        <v>54</v>
      </c>
    </row>
    <row r="13" spans="1:4" x14ac:dyDescent="0.3">
      <c r="A13" s="9" t="s">
        <v>55</v>
      </c>
      <c r="B13" s="10"/>
      <c r="C13" s="11" t="str">
        <f>IF(B13="Supporting",1,IF(B13="Important",2,IF(B13="Critical",3,IF(B13="Mission-Essential",4,""))))</f>
        <v/>
      </c>
      <c r="D13" s="12" t="s">
        <v>56</v>
      </c>
    </row>
    <row r="14" spans="1:4" x14ac:dyDescent="0.3">
      <c r="A14" s="9" t="s">
        <v>57</v>
      </c>
      <c r="B14" s="10"/>
      <c r="C14" s="11" t="str">
        <f>IF(B14="No",0,IF(B14="Indirect",1,IF(B14="Direct",2,"")))</f>
        <v/>
      </c>
      <c r="D14" s="12" t="s">
        <v>58</v>
      </c>
    </row>
    <row r="16" spans="1:4" ht="15.6" x14ac:dyDescent="0.3">
      <c r="A16" s="7" t="s">
        <v>59</v>
      </c>
    </row>
    <row r="17" spans="1:4" x14ac:dyDescent="0.3">
      <c r="A17" s="8" t="s">
        <v>43</v>
      </c>
      <c r="B17" s="8"/>
      <c r="C17" s="8" t="s">
        <v>45</v>
      </c>
      <c r="D17" s="8" t="s">
        <v>46</v>
      </c>
    </row>
    <row r="18" spans="1:4" x14ac:dyDescent="0.3">
      <c r="A18" s="9" t="s">
        <v>60</v>
      </c>
      <c r="B18" s="10"/>
      <c r="C18" s="11" t="str">
        <f>IF(B18="Intranet only",1,IF(B18="B2B/Partner network",2,IF(B18="Internet-facing",3,"")))</f>
        <v/>
      </c>
      <c r="D18" s="12" t="s">
        <v>61</v>
      </c>
    </row>
    <row r="19" spans="1:4" x14ac:dyDescent="0.3">
      <c r="A19" s="9" t="s">
        <v>62</v>
      </c>
      <c r="B19" s="10"/>
      <c r="C19" s="11" t="str">
        <f>IF(B19="Forefront/New",1,IF(B19="Current/Maintained",2,IF(B19="Legacy",3,IF(B19="End-of-Life",4,""))))</f>
        <v/>
      </c>
      <c r="D19" s="12" t="s">
        <v>63</v>
      </c>
    </row>
    <row r="20" spans="1:4" x14ac:dyDescent="0.3">
      <c r="A20" s="9" t="s">
        <v>64</v>
      </c>
      <c r="B20" s="10"/>
      <c r="C20" s="11" t="str">
        <f>IF(B20="Isolated task (code suggestions)",1,IF(B20="Workflow integrated",2,IF(B20="Autonomous agent",3,IF(B20="Multi-agent system",4,""))))</f>
        <v/>
      </c>
      <c r="D20" s="12" t="s">
        <v>65</v>
      </c>
    </row>
    <row r="21" spans="1:4" x14ac:dyDescent="0.3">
      <c r="A21" s="9" t="s">
        <v>66</v>
      </c>
      <c r="B21" s="10"/>
      <c r="C21" s="11" t="str">
        <f>IF(B21="Minimal (&lt;100 files)",1,IF(B21="Moderate (100-1000)",2,IF(B21="Large (1000-10000)",3,IF(B21="Massive/Continuous (&gt;10000)",4,""))))</f>
        <v/>
      </c>
      <c r="D21" s="12" t="s">
        <v>67</v>
      </c>
    </row>
    <row r="22" spans="1:4" x14ac:dyDescent="0.3">
      <c r="A22" s="9" t="s">
        <v>68</v>
      </c>
      <c r="B22" s="10"/>
      <c r="C22" s="11" t="str">
        <f>IF(B22="Read-only (code review)",1,IF(B22="Read+Write (edit files)",2,IF(B22="Shell execution",3,IF(B22="Full access (Network+Shell+Files)",4,""))))</f>
        <v/>
      </c>
      <c r="D22" s="12" t="s">
        <v>69</v>
      </c>
    </row>
    <row r="24" spans="1:4" ht="15.6" x14ac:dyDescent="0.3">
      <c r="A24" s="7" t="s">
        <v>70</v>
      </c>
    </row>
    <row r="25" spans="1:4" x14ac:dyDescent="0.3">
      <c r="A25" s="8" t="s">
        <v>71</v>
      </c>
      <c r="B25" s="8" t="s">
        <v>45</v>
      </c>
      <c r="C25" s="8" t="s">
        <v>72</v>
      </c>
      <c r="D25" s="8" t="s">
        <v>73</v>
      </c>
    </row>
    <row r="26" spans="1:4" x14ac:dyDescent="0.3">
      <c r="A26" s="13" t="s">
        <v>74</v>
      </c>
      <c r="B26" s="11">
        <f>IF(COUNTA(C9:C14)&lt;6,"Fill all inputs",ROUND(1+(SUM(C9:C14)/22)*4,1))</f>
        <v>1</v>
      </c>
      <c r="C26" s="11" t="str">
        <f>IF(ISNUMBER(B26),IF(B26&gt;=4,"Very High",IF(B26&gt;=3,"High",IF(B26&gt;=2,"Medium","Low"))),"")</f>
        <v>Low</v>
      </c>
      <c r="D26" s="12" t="s">
        <v>75</v>
      </c>
    </row>
    <row r="27" spans="1:4" x14ac:dyDescent="0.3">
      <c r="A27" s="13" t="s">
        <v>76</v>
      </c>
      <c r="B27" s="11">
        <f>IF(COUNTA(C18:C22)&lt;5,"Fill all inputs",ROUND(1+(SUM(C18:C22)/19)*4,1))</f>
        <v>1</v>
      </c>
      <c r="C27" s="11" t="str">
        <f>IF(ISNUMBER(B27),IF(B27&gt;=4,"Very Likely",IF(B27&gt;=3,"Likely",IF(B27&gt;=2,"Possible","Unlikely"))),"")</f>
        <v>Unlikely</v>
      </c>
      <c r="D27" s="12" t="s">
        <v>77</v>
      </c>
    </row>
    <row r="28" spans="1:4" ht="15.6" x14ac:dyDescent="0.3">
      <c r="A28" s="14" t="s">
        <v>78</v>
      </c>
      <c r="B28" s="15">
        <f>IF(OR(NOT(ISNUMBER(B26)),NOT(ISNUMBER(B27))),"",ROUND(B26*B27,1))</f>
        <v>1</v>
      </c>
      <c r="C28" s="15" t="str">
        <f>IF(ISNUMBER(B28),IF(B28&gt;=20,"CRITICAL",IF(B28&gt;=12,"HIGH",IF(B28&gt;=6,"MEDIUM","LOW"))),"")</f>
        <v>LOW</v>
      </c>
      <c r="D28" s="12" t="s">
        <v>79</v>
      </c>
    </row>
    <row r="29" spans="1:4" x14ac:dyDescent="0.3">
      <c r="A29" s="13" t="s">
        <v>80</v>
      </c>
      <c r="B29" s="16">
        <f>'Control Selection'!H2</f>
        <v>0</v>
      </c>
      <c r="C29" s="12"/>
      <c r="D29" s="12" t="s">
        <v>81</v>
      </c>
    </row>
    <row r="30" spans="1:4" ht="17.399999999999999" x14ac:dyDescent="0.35">
      <c r="A30" s="17" t="s">
        <v>82</v>
      </c>
      <c r="B30" s="18">
        <f>IF(OR(NOT(ISNUMBER(B28)),NOT(ISNUMBER(B29))),"",ROUND(B28*(1-B29),1))</f>
        <v>1</v>
      </c>
      <c r="C30" s="18" t="str">
        <f>IF(ISNUMBER(B30),IF(B30&gt;=20,"CRITICAL",IF(B30&gt;=12,"HIGH",IF(B30&gt;=6,"MEDIUM","LOW"))),"")</f>
        <v>LOW</v>
      </c>
      <c r="D30" s="12" t="s">
        <v>83</v>
      </c>
    </row>
    <row r="32" spans="1:4" ht="15.6" x14ac:dyDescent="0.3">
      <c r="A32" s="7" t="s">
        <v>84</v>
      </c>
    </row>
    <row r="33" spans="1:4" x14ac:dyDescent="0.3">
      <c r="A33" s="13" t="s">
        <v>85</v>
      </c>
      <c r="B33" s="34" t="str">
        <f>IF(NOT(ISNUMBER(B28)),"",IF(B28&gt;=20,"ALL P1+P2+P3 controls MANDATORY. CISO+DPO+CTO approval required before AI deployment.",IF(B28&gt;=12,"ALL P1 MANDATORY. P2 strongly recommended. CISO approval required.",IF(B28&gt;=6,"P1 MANDATORY. P2 recommended. Tech Lead approval.",IF(B28&gt;=1,"Standard guardrails (P1 operational). Self-service approval.","")))))</f>
        <v>Standard guardrails (P1 operational). Self-service approval.</v>
      </c>
      <c r="C33" s="34"/>
      <c r="D33" s="34"/>
    </row>
    <row r="34" spans="1:4" x14ac:dyDescent="0.3">
      <c r="A34" s="13" t="s">
        <v>86</v>
      </c>
      <c r="B34" s="34" t="str">
        <f>IF(C9="","",IF(C9&gt;=4,"RESTRICTED — AI processing PROHIBITED without CISO+DPO exception (Framework Sec. 3)",IF(C9&gt;=3,"CONFIDENTIAL — Full DLP + PII redaction + manager approval + enhanced logging",IF(C9&gt;=2,"INTERNAL — Standard DLP scanning + audit logging",IF(C9&gt;=1,"PUBLIC — Unrestricted use with standard output review","")))))</f>
        <v/>
      </c>
      <c r="C34" s="34"/>
      <c r="D34" s="34"/>
    </row>
    <row r="35" spans="1:4" x14ac:dyDescent="0.3">
      <c r="A35" s="13" t="s">
        <v>87</v>
      </c>
      <c r="B35" s="34" t="str">
        <f>IF(C12="","",IF(C12&gt;=4,"DPIA MANDATORY (Art. 35). Sensitive data (Art. 9). Full GDPR controls (GD-01 to GD-10) required.",IF(C12&gt;=2,"GDPR applies. Legal basis required (Art. 6). PII tokenization before AI processing. Processing records (Art. 30).",IF(C12=0,"No personal data processing identified. Standard controls apply.","Assess personal data inputs."))))</f>
        <v/>
      </c>
      <c r="C35" s="34"/>
      <c r="D35" s="34"/>
    </row>
    <row r="36" spans="1:4" x14ac:dyDescent="0.3">
      <c r="A36" s="13" t="s">
        <v>88</v>
      </c>
      <c r="B36" s="34" t="str">
        <f>IF(C14="","",IF(C14&gt;=2,"DIRECT R155/R156 scope. Vehicle CSMS integration required. AI controls must align with automotive cybersecurity.",IF(C14&gt;=1,"INDIRECT relevance. Consider CSMS alignment and automotive supply chain controls (SC-01 to SC-08).","Not carIT relevant. Standard framework controls apply.")))</f>
        <v/>
      </c>
      <c r="C36" s="34"/>
      <c r="D36" s="34"/>
    </row>
    <row r="37" spans="1:4" x14ac:dyDescent="0.3">
      <c r="A37" s="13" t="s">
        <v>89</v>
      </c>
      <c r="B37" s="34" t="str">
        <f>IF(C20="","",IF(C20&gt;=3,"AUTONOMOUS/MULTI-AGENT: Memory poisoning (MP-01-07), agent identity (AI-01-07), and Agentic SOAR (MP-05) controls required.",IF(C20&gt;=2,"WORKFLOW INTEGRATED: Plugin/tool exchange (TE-01-07) and session isolation (SI-01-07) controls recommended.","ISOLATED: Standard operational guardrails (Section 11) sufficient.")))</f>
        <v/>
      </c>
      <c r="C37" s="34"/>
      <c r="D37" s="34"/>
    </row>
  </sheetData>
  <mergeCells count="5">
    <mergeCell ref="B33:D33"/>
    <mergeCell ref="B36:D36"/>
    <mergeCell ref="B37:D37"/>
    <mergeCell ref="B35:D35"/>
    <mergeCell ref="B34:D34"/>
  </mergeCells>
  <dataValidations count="11">
    <dataValidation type="list" allowBlank="1" sqref="B9" xr:uid="{00000000-0002-0000-0100-000000000000}">
      <formula1>"Public,Internal,Confidential,Restricted"</formula1>
    </dataValidation>
    <dataValidation type="list" allowBlank="1" sqref="B10" xr:uid="{00000000-0002-0000-0100-000001000000}">
      <formula1>"Low,Medium,High,Very High"</formula1>
    </dataValidation>
    <dataValidation type="list" allowBlank="1" sqref="B11" xr:uid="{00000000-0002-0000-0100-000002000000}">
      <formula1>"Low,Medium,High,Mission-Critical"</formula1>
    </dataValidation>
    <dataValidation type="list" allowBlank="1" sqref="B12" xr:uid="{00000000-0002-0000-0100-000003000000}">
      <formula1>"None,Regular Personal Data,Sensitive PD (Art.9 GDPR)"</formula1>
    </dataValidation>
    <dataValidation type="list" allowBlank="1" sqref="B13" xr:uid="{00000000-0002-0000-0100-000004000000}">
      <formula1>"Supporting,Important,Critical,Mission-Essential"</formula1>
    </dataValidation>
    <dataValidation type="list" allowBlank="1" sqref="B14" xr:uid="{00000000-0002-0000-0100-000005000000}">
      <formula1>"No,Indirect,Direct"</formula1>
    </dataValidation>
    <dataValidation type="list" allowBlank="1" sqref="B18" xr:uid="{00000000-0002-0000-0100-000006000000}">
      <formula1>"Intranet only,B2B/Partner network,Internet-facing"</formula1>
    </dataValidation>
    <dataValidation type="list" allowBlank="1" sqref="B19" xr:uid="{00000000-0002-0000-0100-000007000000}">
      <formula1>"Forefront/New,Current/Maintained,Legacy,End-of-Life"</formula1>
    </dataValidation>
    <dataValidation type="list" allowBlank="1" sqref="B20" xr:uid="{00000000-0002-0000-0100-000008000000}">
      <formula1>"Isolated task (code suggestions),Workflow integrated,Autonomous agent,Multi-agent system"</formula1>
    </dataValidation>
    <dataValidation type="list" allowBlank="1" sqref="B21" xr:uid="{00000000-0002-0000-0100-000009000000}">
      <formula1>"Minimal (&lt;100 files),Moderate (100-1000),Large (1000-10000),Massive/Continuous (&gt;10000)"</formula1>
    </dataValidation>
    <dataValidation type="list" allowBlank="1" sqref="B22" xr:uid="{00000000-0002-0000-0100-00000A000000}">
      <formula1>"Read-only (code review),Read+Write (edit files),Shell execution,Full access (Network+Shell+Files)"</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0"/>
  <sheetViews>
    <sheetView workbookViewId="0">
      <selection activeCell="F4" sqref="F4"/>
    </sheetView>
  </sheetViews>
  <sheetFormatPr defaultRowHeight="14.4" x14ac:dyDescent="0.3"/>
  <cols>
    <col min="1" max="1" width="12" customWidth="1"/>
    <col min="2" max="2" width="55" customWidth="1"/>
    <col min="3" max="3" width="14" customWidth="1"/>
    <col min="4" max="4" width="18" customWidth="1"/>
    <col min="5" max="5" width="20.6640625" bestFit="1" customWidth="1"/>
    <col min="6" max="6" width="17" customWidth="1"/>
    <col min="7" max="7" width="14" customWidth="1"/>
    <col min="8" max="8" width="30" customWidth="1"/>
  </cols>
  <sheetData>
    <row r="1" spans="1:8" x14ac:dyDescent="0.3">
      <c r="A1" s="19" t="s">
        <v>90</v>
      </c>
      <c r="B1" t="s">
        <v>91</v>
      </c>
      <c r="C1">
        <f>COUNTA(A4:A200)</f>
        <v>107</v>
      </c>
      <c r="D1" t="s">
        <v>92</v>
      </c>
      <c r="E1">
        <f>COUNTIF(F4:F200,"Yes")+COUNTIF(F4:F200,"Partial")*0.5</f>
        <v>0</v>
      </c>
      <c r="F1" t="s">
        <v>93</v>
      </c>
      <c r="G1">
        <f>COUNTIF(F4:F200,"No")</f>
        <v>0</v>
      </c>
    </row>
    <row r="2" spans="1:8" ht="18" x14ac:dyDescent="0.35">
      <c r="A2" s="19" t="s">
        <v>94</v>
      </c>
      <c r="B2" t="s">
        <v>95</v>
      </c>
      <c r="C2">
        <f>SUMPRODUCT((F4:F200="Yes")*G4:G200)+SUMPRODUCT((F4:F200="Partial")*G4:G200*0.5)</f>
        <v>0</v>
      </c>
      <c r="D2" t="s">
        <v>96</v>
      </c>
      <c r="E2">
        <f>SUM(G4:G200)</f>
        <v>264</v>
      </c>
      <c r="F2" t="s">
        <v>97</v>
      </c>
      <c r="G2" s="20">
        <f>IF(E2=0,0,C2/E2)</f>
        <v>0</v>
      </c>
      <c r="H2" s="21">
        <f>G2</f>
        <v>0</v>
      </c>
    </row>
    <row r="3" spans="1:8" ht="28.8" x14ac:dyDescent="0.3">
      <c r="A3" s="8" t="s">
        <v>98</v>
      </c>
      <c r="B3" s="8" t="s">
        <v>99</v>
      </c>
      <c r="C3" s="8" t="s">
        <v>100</v>
      </c>
      <c r="D3" s="8" t="s">
        <v>101</v>
      </c>
      <c r="E3" s="8" t="s">
        <v>102</v>
      </c>
      <c r="F3" s="8" t="s">
        <v>103</v>
      </c>
      <c r="G3" s="8" t="s">
        <v>104</v>
      </c>
      <c r="H3" s="8" t="s">
        <v>105</v>
      </c>
    </row>
    <row r="4" spans="1:8" x14ac:dyDescent="0.3">
      <c r="A4" s="12" t="s">
        <v>106</v>
      </c>
      <c r="B4" s="12" t="s">
        <v>107</v>
      </c>
      <c r="C4" s="12" t="s">
        <v>108</v>
      </c>
      <c r="D4" s="12" t="s">
        <v>109</v>
      </c>
      <c r="E4" s="12" t="s">
        <v>110</v>
      </c>
      <c r="F4" s="10"/>
      <c r="G4" s="12">
        <f t="shared" ref="G4:G35" si="0">IF(C4="P1 - Critical",3,IF(C4="P2 - High",2,IF(C4="P3 - Medium",1,0)))</f>
        <v>3</v>
      </c>
      <c r="H4" s="10"/>
    </row>
    <row r="5" spans="1:8" x14ac:dyDescent="0.3">
      <c r="A5" s="12" t="s">
        <v>111</v>
      </c>
      <c r="B5" s="12" t="s">
        <v>112</v>
      </c>
      <c r="C5" s="12" t="s">
        <v>108</v>
      </c>
      <c r="D5" s="12" t="s">
        <v>109</v>
      </c>
      <c r="E5" s="12" t="s">
        <v>110</v>
      </c>
      <c r="F5" s="10"/>
      <c r="G5" s="12">
        <f t="shared" si="0"/>
        <v>3</v>
      </c>
      <c r="H5" s="10"/>
    </row>
    <row r="6" spans="1:8" x14ac:dyDescent="0.3">
      <c r="A6" s="12" t="s">
        <v>113</v>
      </c>
      <c r="B6" s="12" t="s">
        <v>114</v>
      </c>
      <c r="C6" s="12" t="s">
        <v>108</v>
      </c>
      <c r="D6" s="12" t="s">
        <v>109</v>
      </c>
      <c r="E6" s="12" t="s">
        <v>110</v>
      </c>
      <c r="F6" s="10"/>
      <c r="G6" s="12">
        <f t="shared" si="0"/>
        <v>3</v>
      </c>
      <c r="H6" s="10"/>
    </row>
    <row r="7" spans="1:8" x14ac:dyDescent="0.3">
      <c r="A7" s="12" t="s">
        <v>115</v>
      </c>
      <c r="B7" s="12" t="s">
        <v>116</v>
      </c>
      <c r="C7" s="12" t="s">
        <v>117</v>
      </c>
      <c r="D7" s="12" t="s">
        <v>109</v>
      </c>
      <c r="E7" s="12" t="s">
        <v>110</v>
      </c>
      <c r="F7" s="10"/>
      <c r="G7" s="12">
        <f t="shared" si="0"/>
        <v>2</v>
      </c>
      <c r="H7" s="10"/>
    </row>
    <row r="8" spans="1:8" x14ac:dyDescent="0.3">
      <c r="A8" s="12" t="s">
        <v>118</v>
      </c>
      <c r="B8" s="12" t="s">
        <v>119</v>
      </c>
      <c r="C8" s="12" t="s">
        <v>108</v>
      </c>
      <c r="D8" s="12" t="s">
        <v>109</v>
      </c>
      <c r="E8" s="12" t="s">
        <v>110</v>
      </c>
      <c r="F8" s="10"/>
      <c r="G8" s="12">
        <f t="shared" si="0"/>
        <v>3</v>
      </c>
      <c r="H8" s="10"/>
    </row>
    <row r="9" spans="1:8" x14ac:dyDescent="0.3">
      <c r="A9" s="12" t="s">
        <v>120</v>
      </c>
      <c r="B9" s="12" t="s">
        <v>121</v>
      </c>
      <c r="C9" s="12" t="s">
        <v>117</v>
      </c>
      <c r="D9" s="12" t="s">
        <v>109</v>
      </c>
      <c r="E9" s="12" t="s">
        <v>110</v>
      </c>
      <c r="F9" s="10"/>
      <c r="G9" s="12">
        <f t="shared" si="0"/>
        <v>2</v>
      </c>
      <c r="H9" s="10"/>
    </row>
    <row r="10" spans="1:8" x14ac:dyDescent="0.3">
      <c r="A10" s="12" t="s">
        <v>122</v>
      </c>
      <c r="B10" s="12" t="s">
        <v>123</v>
      </c>
      <c r="C10" s="12" t="s">
        <v>117</v>
      </c>
      <c r="D10" s="12" t="s">
        <v>109</v>
      </c>
      <c r="E10" s="12" t="s">
        <v>110</v>
      </c>
      <c r="F10" s="10"/>
      <c r="G10" s="12">
        <f t="shared" si="0"/>
        <v>2</v>
      </c>
      <c r="H10" s="10"/>
    </row>
    <row r="11" spans="1:8" x14ac:dyDescent="0.3">
      <c r="A11" s="12" t="s">
        <v>124</v>
      </c>
      <c r="B11" s="12" t="s">
        <v>125</v>
      </c>
      <c r="C11" s="12" t="s">
        <v>117</v>
      </c>
      <c r="D11" s="12" t="s">
        <v>109</v>
      </c>
      <c r="E11" s="12" t="s">
        <v>110</v>
      </c>
      <c r="F11" s="10"/>
      <c r="G11" s="12">
        <f t="shared" si="0"/>
        <v>2</v>
      </c>
      <c r="H11" s="10"/>
    </row>
    <row r="12" spans="1:8" x14ac:dyDescent="0.3">
      <c r="A12" s="12" t="s">
        <v>126</v>
      </c>
      <c r="B12" s="12" t="s">
        <v>127</v>
      </c>
      <c r="C12" s="12" t="s">
        <v>108</v>
      </c>
      <c r="D12" s="12" t="s">
        <v>128</v>
      </c>
      <c r="E12" s="12" t="s">
        <v>129</v>
      </c>
      <c r="F12" s="10"/>
      <c r="G12" s="12">
        <f t="shared" si="0"/>
        <v>3</v>
      </c>
      <c r="H12" s="10"/>
    </row>
    <row r="13" spans="1:8" x14ac:dyDescent="0.3">
      <c r="A13" s="12" t="s">
        <v>130</v>
      </c>
      <c r="B13" s="12" t="s">
        <v>131</v>
      </c>
      <c r="C13" s="12" t="s">
        <v>108</v>
      </c>
      <c r="D13" s="12" t="s">
        <v>109</v>
      </c>
      <c r="E13" s="12" t="s">
        <v>129</v>
      </c>
      <c r="F13" s="10"/>
      <c r="G13" s="12">
        <f t="shared" si="0"/>
        <v>3</v>
      </c>
      <c r="H13" s="10"/>
    </row>
    <row r="14" spans="1:8" x14ac:dyDescent="0.3">
      <c r="A14" s="12" t="s">
        <v>132</v>
      </c>
      <c r="B14" s="12" t="s">
        <v>133</v>
      </c>
      <c r="C14" s="12" t="s">
        <v>108</v>
      </c>
      <c r="D14" s="12" t="s">
        <v>109</v>
      </c>
      <c r="E14" s="12" t="s">
        <v>129</v>
      </c>
      <c r="F14" s="10"/>
      <c r="G14" s="12">
        <f t="shared" si="0"/>
        <v>3</v>
      </c>
      <c r="H14" s="10"/>
    </row>
    <row r="15" spans="1:8" x14ac:dyDescent="0.3">
      <c r="A15" s="12" t="s">
        <v>134</v>
      </c>
      <c r="B15" s="12" t="s">
        <v>135</v>
      </c>
      <c r="C15" s="12" t="s">
        <v>108</v>
      </c>
      <c r="D15" s="12" t="s">
        <v>136</v>
      </c>
      <c r="E15" s="12" t="s">
        <v>129</v>
      </c>
      <c r="F15" s="10"/>
      <c r="G15" s="12">
        <f t="shared" si="0"/>
        <v>3</v>
      </c>
      <c r="H15" s="10"/>
    </row>
    <row r="16" spans="1:8" x14ac:dyDescent="0.3">
      <c r="A16" s="12" t="s">
        <v>137</v>
      </c>
      <c r="B16" s="12" t="s">
        <v>138</v>
      </c>
      <c r="C16" s="12" t="s">
        <v>108</v>
      </c>
      <c r="D16" s="12" t="s">
        <v>136</v>
      </c>
      <c r="E16" s="12" t="s">
        <v>129</v>
      </c>
      <c r="F16" s="10"/>
      <c r="G16" s="12">
        <f t="shared" si="0"/>
        <v>3</v>
      </c>
      <c r="H16" s="10"/>
    </row>
    <row r="17" spans="1:8" x14ac:dyDescent="0.3">
      <c r="A17" s="12" t="s">
        <v>139</v>
      </c>
      <c r="B17" s="12" t="s">
        <v>140</v>
      </c>
      <c r="C17" s="12" t="s">
        <v>117</v>
      </c>
      <c r="D17" s="12" t="s">
        <v>128</v>
      </c>
      <c r="E17" s="12" t="s">
        <v>129</v>
      </c>
      <c r="F17" s="10"/>
      <c r="G17" s="12">
        <f t="shared" si="0"/>
        <v>2</v>
      </c>
      <c r="H17" s="10"/>
    </row>
    <row r="18" spans="1:8" x14ac:dyDescent="0.3">
      <c r="A18" s="12" t="s">
        <v>141</v>
      </c>
      <c r="B18" s="12" t="s">
        <v>142</v>
      </c>
      <c r="C18" s="12" t="s">
        <v>108</v>
      </c>
      <c r="D18" s="12" t="s">
        <v>109</v>
      </c>
      <c r="E18" s="12" t="s">
        <v>129</v>
      </c>
      <c r="F18" s="10"/>
      <c r="G18" s="12">
        <f t="shared" si="0"/>
        <v>3</v>
      </c>
      <c r="H18" s="10"/>
    </row>
    <row r="19" spans="1:8" x14ac:dyDescent="0.3">
      <c r="A19" s="12" t="s">
        <v>143</v>
      </c>
      <c r="B19" s="12" t="s">
        <v>144</v>
      </c>
      <c r="C19" s="12" t="s">
        <v>117</v>
      </c>
      <c r="D19" s="12" t="s">
        <v>109</v>
      </c>
      <c r="E19" s="12" t="s">
        <v>129</v>
      </c>
      <c r="F19" s="10"/>
      <c r="G19" s="12">
        <f t="shared" si="0"/>
        <v>2</v>
      </c>
      <c r="H19" s="10"/>
    </row>
    <row r="20" spans="1:8" x14ac:dyDescent="0.3">
      <c r="A20" s="12" t="s">
        <v>145</v>
      </c>
      <c r="B20" s="12" t="s">
        <v>146</v>
      </c>
      <c r="C20" s="12" t="s">
        <v>117</v>
      </c>
      <c r="D20" s="12" t="s">
        <v>136</v>
      </c>
      <c r="E20" s="12" t="s">
        <v>129</v>
      </c>
      <c r="F20" s="10"/>
      <c r="G20" s="12">
        <f t="shared" si="0"/>
        <v>2</v>
      </c>
      <c r="H20" s="10"/>
    </row>
    <row r="21" spans="1:8" x14ac:dyDescent="0.3">
      <c r="A21" s="12" t="s">
        <v>147</v>
      </c>
      <c r="B21" s="12" t="s">
        <v>148</v>
      </c>
      <c r="C21" s="12" t="s">
        <v>108</v>
      </c>
      <c r="D21" s="12" t="s">
        <v>109</v>
      </c>
      <c r="E21" s="12" t="s">
        <v>129</v>
      </c>
      <c r="F21" s="10"/>
      <c r="G21" s="12">
        <f t="shared" si="0"/>
        <v>3</v>
      </c>
      <c r="H21" s="10"/>
    </row>
    <row r="22" spans="1:8" x14ac:dyDescent="0.3">
      <c r="A22" s="12" t="s">
        <v>149</v>
      </c>
      <c r="B22" s="12" t="s">
        <v>150</v>
      </c>
      <c r="C22" s="12" t="s">
        <v>108</v>
      </c>
      <c r="D22" s="12" t="s">
        <v>109</v>
      </c>
      <c r="E22" s="12" t="s">
        <v>151</v>
      </c>
      <c r="F22" s="10"/>
      <c r="G22" s="12">
        <f t="shared" si="0"/>
        <v>3</v>
      </c>
      <c r="H22" s="10"/>
    </row>
    <row r="23" spans="1:8" x14ac:dyDescent="0.3">
      <c r="A23" s="12" t="s">
        <v>152</v>
      </c>
      <c r="B23" s="12" t="s">
        <v>153</v>
      </c>
      <c r="C23" s="12" t="s">
        <v>108</v>
      </c>
      <c r="D23" s="12" t="s">
        <v>109</v>
      </c>
      <c r="E23" s="12" t="s">
        <v>151</v>
      </c>
      <c r="F23" s="10"/>
      <c r="G23" s="12">
        <f t="shared" si="0"/>
        <v>3</v>
      </c>
      <c r="H23" s="10"/>
    </row>
    <row r="24" spans="1:8" x14ac:dyDescent="0.3">
      <c r="A24" s="12" t="s">
        <v>154</v>
      </c>
      <c r="B24" s="12" t="s">
        <v>155</v>
      </c>
      <c r="C24" s="12" t="s">
        <v>108</v>
      </c>
      <c r="D24" s="12" t="s">
        <v>109</v>
      </c>
      <c r="E24" s="12" t="s">
        <v>151</v>
      </c>
      <c r="F24" s="10"/>
      <c r="G24" s="12">
        <f t="shared" si="0"/>
        <v>3</v>
      </c>
      <c r="H24" s="10"/>
    </row>
    <row r="25" spans="1:8" x14ac:dyDescent="0.3">
      <c r="A25" s="12" t="s">
        <v>156</v>
      </c>
      <c r="B25" s="12" t="s">
        <v>157</v>
      </c>
      <c r="C25" s="12" t="s">
        <v>108</v>
      </c>
      <c r="D25" s="12" t="s">
        <v>109</v>
      </c>
      <c r="E25" s="12" t="s">
        <v>151</v>
      </c>
      <c r="F25" s="10"/>
      <c r="G25" s="12">
        <f t="shared" si="0"/>
        <v>3</v>
      </c>
      <c r="H25" s="10"/>
    </row>
    <row r="26" spans="1:8" x14ac:dyDescent="0.3">
      <c r="A26" s="12" t="s">
        <v>158</v>
      </c>
      <c r="B26" s="12" t="s">
        <v>159</v>
      </c>
      <c r="C26" s="12" t="s">
        <v>108</v>
      </c>
      <c r="D26" s="12" t="s">
        <v>109</v>
      </c>
      <c r="E26" s="12" t="s">
        <v>151</v>
      </c>
      <c r="F26" s="10"/>
      <c r="G26" s="12">
        <f t="shared" si="0"/>
        <v>3</v>
      </c>
      <c r="H26" s="10"/>
    </row>
    <row r="27" spans="1:8" x14ac:dyDescent="0.3">
      <c r="A27" s="12" t="s">
        <v>160</v>
      </c>
      <c r="B27" s="12" t="s">
        <v>161</v>
      </c>
      <c r="C27" s="12" t="s">
        <v>108</v>
      </c>
      <c r="D27" s="12" t="s">
        <v>109</v>
      </c>
      <c r="E27" s="12" t="s">
        <v>151</v>
      </c>
      <c r="F27" s="10"/>
      <c r="G27" s="12">
        <f t="shared" si="0"/>
        <v>3</v>
      </c>
      <c r="H27" s="10"/>
    </row>
    <row r="28" spans="1:8" x14ac:dyDescent="0.3">
      <c r="A28" s="12" t="s">
        <v>162</v>
      </c>
      <c r="B28" s="12" t="s">
        <v>163</v>
      </c>
      <c r="C28" s="12" t="s">
        <v>117</v>
      </c>
      <c r="D28" s="12" t="s">
        <v>109</v>
      </c>
      <c r="E28" s="12" t="s">
        <v>151</v>
      </c>
      <c r="F28" s="10"/>
      <c r="G28" s="12">
        <f t="shared" si="0"/>
        <v>2</v>
      </c>
      <c r="H28" s="10"/>
    </row>
    <row r="29" spans="1:8" x14ac:dyDescent="0.3">
      <c r="A29" s="12" t="s">
        <v>164</v>
      </c>
      <c r="B29" s="12" t="s">
        <v>165</v>
      </c>
      <c r="C29" s="12" t="s">
        <v>117</v>
      </c>
      <c r="D29" s="12" t="s">
        <v>109</v>
      </c>
      <c r="E29" s="12" t="s">
        <v>151</v>
      </c>
      <c r="F29" s="10"/>
      <c r="G29" s="12">
        <f t="shared" si="0"/>
        <v>2</v>
      </c>
      <c r="H29" s="10"/>
    </row>
    <row r="30" spans="1:8" x14ac:dyDescent="0.3">
      <c r="A30" s="12" t="s">
        <v>166</v>
      </c>
      <c r="B30" s="12" t="s">
        <v>167</v>
      </c>
      <c r="C30" s="12" t="s">
        <v>108</v>
      </c>
      <c r="D30" s="12" t="s">
        <v>109</v>
      </c>
      <c r="E30" s="12" t="s">
        <v>168</v>
      </c>
      <c r="F30" s="10"/>
      <c r="G30" s="12">
        <f t="shared" si="0"/>
        <v>3</v>
      </c>
      <c r="H30" s="10"/>
    </row>
    <row r="31" spans="1:8" x14ac:dyDescent="0.3">
      <c r="A31" s="12" t="s">
        <v>169</v>
      </c>
      <c r="B31" s="12" t="s">
        <v>170</v>
      </c>
      <c r="C31" s="12" t="s">
        <v>108</v>
      </c>
      <c r="D31" s="12" t="s">
        <v>109</v>
      </c>
      <c r="E31" s="12" t="s">
        <v>168</v>
      </c>
      <c r="F31" s="10"/>
      <c r="G31" s="12">
        <f t="shared" si="0"/>
        <v>3</v>
      </c>
      <c r="H31" s="10"/>
    </row>
    <row r="32" spans="1:8" x14ac:dyDescent="0.3">
      <c r="A32" s="12" t="s">
        <v>171</v>
      </c>
      <c r="B32" s="12" t="s">
        <v>172</v>
      </c>
      <c r="C32" s="12" t="s">
        <v>117</v>
      </c>
      <c r="D32" s="12" t="s">
        <v>109</v>
      </c>
      <c r="E32" s="12" t="s">
        <v>168</v>
      </c>
      <c r="F32" s="10"/>
      <c r="G32" s="12">
        <f t="shared" si="0"/>
        <v>2</v>
      </c>
      <c r="H32" s="10"/>
    </row>
    <row r="33" spans="1:8" x14ac:dyDescent="0.3">
      <c r="A33" s="12" t="s">
        <v>173</v>
      </c>
      <c r="B33" s="12" t="s">
        <v>174</v>
      </c>
      <c r="C33" s="12" t="s">
        <v>108</v>
      </c>
      <c r="D33" s="12" t="s">
        <v>109</v>
      </c>
      <c r="E33" s="12" t="s">
        <v>168</v>
      </c>
      <c r="F33" s="10"/>
      <c r="G33" s="12">
        <f t="shared" si="0"/>
        <v>3</v>
      </c>
      <c r="H33" s="10"/>
    </row>
    <row r="34" spans="1:8" x14ac:dyDescent="0.3">
      <c r="A34" s="12" t="s">
        <v>175</v>
      </c>
      <c r="B34" s="12" t="s">
        <v>176</v>
      </c>
      <c r="C34" s="12" t="s">
        <v>117</v>
      </c>
      <c r="D34" s="12" t="s">
        <v>109</v>
      </c>
      <c r="E34" s="12" t="s">
        <v>168</v>
      </c>
      <c r="F34" s="10"/>
      <c r="G34" s="12">
        <f t="shared" si="0"/>
        <v>2</v>
      </c>
      <c r="H34" s="10"/>
    </row>
    <row r="35" spans="1:8" x14ac:dyDescent="0.3">
      <c r="A35" s="12" t="s">
        <v>177</v>
      </c>
      <c r="B35" s="12" t="s">
        <v>178</v>
      </c>
      <c r="C35" s="12" t="s">
        <v>117</v>
      </c>
      <c r="D35" s="12" t="s">
        <v>109</v>
      </c>
      <c r="E35" s="12" t="s">
        <v>168</v>
      </c>
      <c r="F35" s="10"/>
      <c r="G35" s="12">
        <f t="shared" si="0"/>
        <v>2</v>
      </c>
      <c r="H35" s="10"/>
    </row>
    <row r="36" spans="1:8" x14ac:dyDescent="0.3">
      <c r="A36" s="12" t="s">
        <v>179</v>
      </c>
      <c r="B36" s="12" t="s">
        <v>180</v>
      </c>
      <c r="C36" s="12" t="s">
        <v>117</v>
      </c>
      <c r="D36" s="12" t="s">
        <v>109</v>
      </c>
      <c r="E36" s="12" t="s">
        <v>168</v>
      </c>
      <c r="F36" s="10"/>
      <c r="G36" s="12">
        <f t="shared" ref="G36:G67" si="1">IF(C36="P1 - Critical",3,IF(C36="P2 - High",2,IF(C36="P3 - Medium",1,0)))</f>
        <v>2</v>
      </c>
      <c r="H36" s="10"/>
    </row>
    <row r="37" spans="1:8" x14ac:dyDescent="0.3">
      <c r="A37" s="12" t="s">
        <v>181</v>
      </c>
      <c r="B37" s="12" t="s">
        <v>182</v>
      </c>
      <c r="C37" s="12" t="s">
        <v>183</v>
      </c>
      <c r="D37" s="12" t="s">
        <v>136</v>
      </c>
      <c r="E37" s="12" t="s">
        <v>168</v>
      </c>
      <c r="F37" s="10"/>
      <c r="G37" s="12">
        <f t="shared" si="1"/>
        <v>1</v>
      </c>
      <c r="H37" s="10"/>
    </row>
    <row r="38" spans="1:8" x14ac:dyDescent="0.3">
      <c r="A38" s="12" t="s">
        <v>184</v>
      </c>
      <c r="B38" s="12" t="s">
        <v>185</v>
      </c>
      <c r="C38" s="12" t="s">
        <v>108</v>
      </c>
      <c r="D38" s="12" t="s">
        <v>109</v>
      </c>
      <c r="E38" s="12" t="s">
        <v>186</v>
      </c>
      <c r="F38" s="10"/>
      <c r="G38" s="12">
        <f t="shared" si="1"/>
        <v>3</v>
      </c>
      <c r="H38" s="10"/>
    </row>
    <row r="39" spans="1:8" x14ac:dyDescent="0.3">
      <c r="A39" s="12" t="s">
        <v>187</v>
      </c>
      <c r="B39" s="12" t="s">
        <v>188</v>
      </c>
      <c r="C39" s="12" t="s">
        <v>117</v>
      </c>
      <c r="D39" s="12" t="s">
        <v>109</v>
      </c>
      <c r="E39" s="12" t="s">
        <v>186</v>
      </c>
      <c r="F39" s="10"/>
      <c r="G39" s="12">
        <f t="shared" si="1"/>
        <v>2</v>
      </c>
      <c r="H39" s="10"/>
    </row>
    <row r="40" spans="1:8" x14ac:dyDescent="0.3">
      <c r="A40" s="12" t="s">
        <v>189</v>
      </c>
      <c r="B40" s="12" t="s">
        <v>190</v>
      </c>
      <c r="C40" s="12" t="s">
        <v>117</v>
      </c>
      <c r="D40" s="12" t="s">
        <v>109</v>
      </c>
      <c r="E40" s="12" t="s">
        <v>186</v>
      </c>
      <c r="F40" s="10"/>
      <c r="G40" s="12">
        <f t="shared" si="1"/>
        <v>2</v>
      </c>
      <c r="H40" s="10"/>
    </row>
    <row r="41" spans="1:8" x14ac:dyDescent="0.3">
      <c r="A41" s="12" t="s">
        <v>191</v>
      </c>
      <c r="B41" s="12" t="s">
        <v>192</v>
      </c>
      <c r="C41" s="12" t="s">
        <v>108</v>
      </c>
      <c r="D41" s="12" t="s">
        <v>109</v>
      </c>
      <c r="E41" s="12" t="s">
        <v>186</v>
      </c>
      <c r="F41" s="10"/>
      <c r="G41" s="12">
        <f t="shared" si="1"/>
        <v>3</v>
      </c>
      <c r="H41" s="10"/>
    </row>
    <row r="42" spans="1:8" x14ac:dyDescent="0.3">
      <c r="A42" s="12" t="s">
        <v>193</v>
      </c>
      <c r="B42" s="12" t="s">
        <v>194</v>
      </c>
      <c r="C42" s="12" t="s">
        <v>108</v>
      </c>
      <c r="D42" s="12" t="s">
        <v>136</v>
      </c>
      <c r="E42" s="12" t="s">
        <v>186</v>
      </c>
      <c r="F42" s="10"/>
      <c r="G42" s="12">
        <f t="shared" si="1"/>
        <v>3</v>
      </c>
      <c r="H42" s="10"/>
    </row>
    <row r="43" spans="1:8" x14ac:dyDescent="0.3">
      <c r="A43" s="12" t="s">
        <v>195</v>
      </c>
      <c r="B43" s="12" t="s">
        <v>196</v>
      </c>
      <c r="C43" s="12" t="s">
        <v>117</v>
      </c>
      <c r="D43" s="12" t="s">
        <v>109</v>
      </c>
      <c r="E43" s="12" t="s">
        <v>186</v>
      </c>
      <c r="F43" s="10"/>
      <c r="G43" s="12">
        <f t="shared" si="1"/>
        <v>2</v>
      </c>
      <c r="H43" s="10"/>
    </row>
    <row r="44" spans="1:8" x14ac:dyDescent="0.3">
      <c r="A44" s="12" t="s">
        <v>197</v>
      </c>
      <c r="B44" s="12" t="s">
        <v>198</v>
      </c>
      <c r="C44" s="12" t="s">
        <v>183</v>
      </c>
      <c r="D44" s="12" t="s">
        <v>109</v>
      </c>
      <c r="E44" s="12" t="s">
        <v>186</v>
      </c>
      <c r="F44" s="10"/>
      <c r="G44" s="12">
        <f t="shared" si="1"/>
        <v>1</v>
      </c>
      <c r="H44" s="10"/>
    </row>
    <row r="45" spans="1:8" x14ac:dyDescent="0.3">
      <c r="A45" s="12" t="s">
        <v>199</v>
      </c>
      <c r="B45" s="12" t="s">
        <v>200</v>
      </c>
      <c r="C45" s="12" t="s">
        <v>108</v>
      </c>
      <c r="D45" s="12" t="s">
        <v>109</v>
      </c>
      <c r="E45" s="12" t="s">
        <v>201</v>
      </c>
      <c r="F45" s="10"/>
      <c r="G45" s="12">
        <f t="shared" si="1"/>
        <v>3</v>
      </c>
      <c r="H45" s="10"/>
    </row>
    <row r="46" spans="1:8" x14ac:dyDescent="0.3">
      <c r="A46" s="12" t="s">
        <v>202</v>
      </c>
      <c r="B46" s="12" t="s">
        <v>203</v>
      </c>
      <c r="C46" s="12" t="s">
        <v>108</v>
      </c>
      <c r="D46" s="12" t="s">
        <v>136</v>
      </c>
      <c r="E46" s="12" t="s">
        <v>201</v>
      </c>
      <c r="F46" s="10"/>
      <c r="G46" s="12">
        <f t="shared" si="1"/>
        <v>3</v>
      </c>
      <c r="H46" s="10"/>
    </row>
    <row r="47" spans="1:8" x14ac:dyDescent="0.3">
      <c r="A47" s="12" t="s">
        <v>204</v>
      </c>
      <c r="B47" s="12" t="s">
        <v>205</v>
      </c>
      <c r="C47" s="12" t="s">
        <v>117</v>
      </c>
      <c r="D47" s="12" t="s">
        <v>109</v>
      </c>
      <c r="E47" s="12" t="s">
        <v>201</v>
      </c>
      <c r="F47" s="10"/>
      <c r="G47" s="12">
        <f t="shared" si="1"/>
        <v>2</v>
      </c>
      <c r="H47" s="10"/>
    </row>
    <row r="48" spans="1:8" x14ac:dyDescent="0.3">
      <c r="A48" s="12" t="s">
        <v>206</v>
      </c>
      <c r="B48" s="12" t="s">
        <v>207</v>
      </c>
      <c r="C48" s="12" t="s">
        <v>108</v>
      </c>
      <c r="D48" s="12" t="s">
        <v>109</v>
      </c>
      <c r="E48" s="12" t="s">
        <v>201</v>
      </c>
      <c r="F48" s="10"/>
      <c r="G48" s="12">
        <f t="shared" si="1"/>
        <v>3</v>
      </c>
      <c r="H48" s="10"/>
    </row>
    <row r="49" spans="1:8" x14ac:dyDescent="0.3">
      <c r="A49" s="12" t="s">
        <v>208</v>
      </c>
      <c r="B49" s="12" t="s">
        <v>209</v>
      </c>
      <c r="C49" s="12" t="s">
        <v>117</v>
      </c>
      <c r="D49" s="12" t="s">
        <v>109</v>
      </c>
      <c r="E49" s="12" t="s">
        <v>201</v>
      </c>
      <c r="F49" s="10"/>
      <c r="G49" s="12">
        <f t="shared" si="1"/>
        <v>2</v>
      </c>
      <c r="H49" s="10"/>
    </row>
    <row r="50" spans="1:8" x14ac:dyDescent="0.3">
      <c r="A50" s="12" t="s">
        <v>210</v>
      </c>
      <c r="B50" s="12" t="s">
        <v>211</v>
      </c>
      <c r="C50" s="12" t="s">
        <v>108</v>
      </c>
      <c r="D50" s="12" t="s">
        <v>136</v>
      </c>
      <c r="E50" s="12" t="s">
        <v>201</v>
      </c>
      <c r="F50" s="10"/>
      <c r="G50" s="12">
        <f t="shared" si="1"/>
        <v>3</v>
      </c>
      <c r="H50" s="10"/>
    </row>
    <row r="51" spans="1:8" x14ac:dyDescent="0.3">
      <c r="A51" s="12" t="s">
        <v>212</v>
      </c>
      <c r="B51" s="12" t="s">
        <v>213</v>
      </c>
      <c r="C51" s="12" t="s">
        <v>117</v>
      </c>
      <c r="D51" s="12" t="s">
        <v>136</v>
      </c>
      <c r="E51" s="12" t="s">
        <v>201</v>
      </c>
      <c r="F51" s="10"/>
      <c r="G51" s="12">
        <f t="shared" si="1"/>
        <v>2</v>
      </c>
      <c r="H51" s="10"/>
    </row>
    <row r="52" spans="1:8" x14ac:dyDescent="0.3">
      <c r="A52" s="12" t="s">
        <v>214</v>
      </c>
      <c r="B52" s="12" t="s">
        <v>215</v>
      </c>
      <c r="C52" s="12" t="s">
        <v>108</v>
      </c>
      <c r="D52" s="12" t="s">
        <v>109</v>
      </c>
      <c r="E52" s="12" t="s">
        <v>201</v>
      </c>
      <c r="F52" s="10"/>
      <c r="G52" s="12">
        <f t="shared" si="1"/>
        <v>3</v>
      </c>
      <c r="H52" s="10"/>
    </row>
    <row r="53" spans="1:8" x14ac:dyDescent="0.3">
      <c r="A53" s="12" t="s">
        <v>216</v>
      </c>
      <c r="B53" s="12" t="s">
        <v>217</v>
      </c>
      <c r="C53" s="12" t="s">
        <v>108</v>
      </c>
      <c r="D53" s="12" t="s">
        <v>109</v>
      </c>
      <c r="E53" s="12" t="s">
        <v>201</v>
      </c>
      <c r="F53" s="10"/>
      <c r="G53" s="12">
        <f t="shared" si="1"/>
        <v>3</v>
      </c>
      <c r="H53" s="10"/>
    </row>
    <row r="54" spans="1:8" x14ac:dyDescent="0.3">
      <c r="A54" s="12" t="s">
        <v>218</v>
      </c>
      <c r="B54" s="12" t="s">
        <v>219</v>
      </c>
      <c r="C54" s="12" t="s">
        <v>108</v>
      </c>
      <c r="D54" s="12" t="s">
        <v>109</v>
      </c>
      <c r="E54" s="12" t="s">
        <v>201</v>
      </c>
      <c r="F54" s="10"/>
      <c r="G54" s="12">
        <f t="shared" si="1"/>
        <v>3</v>
      </c>
      <c r="H54" s="10"/>
    </row>
    <row r="55" spans="1:8" x14ac:dyDescent="0.3">
      <c r="A55" s="12" t="s">
        <v>220</v>
      </c>
      <c r="B55" s="12" t="s">
        <v>221</v>
      </c>
      <c r="C55" s="12" t="s">
        <v>108</v>
      </c>
      <c r="D55" s="12" t="s">
        <v>109</v>
      </c>
      <c r="E55" s="12" t="s">
        <v>222</v>
      </c>
      <c r="F55" s="10"/>
      <c r="G55" s="12">
        <f t="shared" si="1"/>
        <v>3</v>
      </c>
      <c r="H55" s="10"/>
    </row>
    <row r="56" spans="1:8" x14ac:dyDescent="0.3">
      <c r="A56" s="12" t="s">
        <v>223</v>
      </c>
      <c r="B56" s="12" t="s">
        <v>224</v>
      </c>
      <c r="C56" s="12" t="s">
        <v>108</v>
      </c>
      <c r="D56" s="12" t="s">
        <v>109</v>
      </c>
      <c r="E56" s="12" t="s">
        <v>222</v>
      </c>
      <c r="F56" s="10"/>
      <c r="G56" s="12">
        <f t="shared" si="1"/>
        <v>3</v>
      </c>
      <c r="H56" s="10"/>
    </row>
    <row r="57" spans="1:8" x14ac:dyDescent="0.3">
      <c r="A57" s="12" t="s">
        <v>225</v>
      </c>
      <c r="B57" s="12" t="s">
        <v>226</v>
      </c>
      <c r="C57" s="12" t="s">
        <v>117</v>
      </c>
      <c r="D57" s="12" t="s">
        <v>109</v>
      </c>
      <c r="E57" s="12" t="s">
        <v>222</v>
      </c>
      <c r="F57" s="10"/>
      <c r="G57" s="12">
        <f t="shared" si="1"/>
        <v>2</v>
      </c>
      <c r="H57" s="10"/>
    </row>
    <row r="58" spans="1:8" x14ac:dyDescent="0.3">
      <c r="A58" s="12" t="s">
        <v>227</v>
      </c>
      <c r="B58" s="12" t="s">
        <v>228</v>
      </c>
      <c r="C58" s="12" t="s">
        <v>108</v>
      </c>
      <c r="D58" s="12" t="s">
        <v>109</v>
      </c>
      <c r="E58" s="12" t="s">
        <v>222</v>
      </c>
      <c r="F58" s="10"/>
      <c r="G58" s="12">
        <f t="shared" si="1"/>
        <v>3</v>
      </c>
      <c r="H58" s="10"/>
    </row>
    <row r="59" spans="1:8" x14ac:dyDescent="0.3">
      <c r="A59" s="12" t="s">
        <v>229</v>
      </c>
      <c r="B59" s="12" t="s">
        <v>230</v>
      </c>
      <c r="C59" s="12" t="s">
        <v>108</v>
      </c>
      <c r="D59" s="12" t="s">
        <v>109</v>
      </c>
      <c r="E59" s="12" t="s">
        <v>222</v>
      </c>
      <c r="F59" s="10"/>
      <c r="G59" s="12">
        <f t="shared" si="1"/>
        <v>3</v>
      </c>
      <c r="H59" s="10"/>
    </row>
    <row r="60" spans="1:8" x14ac:dyDescent="0.3">
      <c r="A60" s="12" t="s">
        <v>231</v>
      </c>
      <c r="B60" s="12" t="s">
        <v>232</v>
      </c>
      <c r="C60" s="12" t="s">
        <v>117</v>
      </c>
      <c r="D60" s="12" t="s">
        <v>109</v>
      </c>
      <c r="E60" s="12" t="s">
        <v>222</v>
      </c>
      <c r="F60" s="10"/>
      <c r="G60" s="12">
        <f t="shared" si="1"/>
        <v>2</v>
      </c>
      <c r="H60" s="10"/>
    </row>
    <row r="61" spans="1:8" x14ac:dyDescent="0.3">
      <c r="A61" s="12" t="s">
        <v>233</v>
      </c>
      <c r="B61" s="12" t="s">
        <v>234</v>
      </c>
      <c r="C61" s="12" t="s">
        <v>117</v>
      </c>
      <c r="D61" s="12" t="s">
        <v>136</v>
      </c>
      <c r="E61" s="12" t="s">
        <v>222</v>
      </c>
      <c r="F61" s="10"/>
      <c r="G61" s="12">
        <f t="shared" si="1"/>
        <v>2</v>
      </c>
      <c r="H61" s="10"/>
    </row>
    <row r="62" spans="1:8" x14ac:dyDescent="0.3">
      <c r="A62" s="12" t="s">
        <v>235</v>
      </c>
      <c r="B62" s="12" t="s">
        <v>236</v>
      </c>
      <c r="C62" s="12" t="s">
        <v>108</v>
      </c>
      <c r="D62" s="12" t="s">
        <v>109</v>
      </c>
      <c r="E62" s="12" t="s">
        <v>237</v>
      </c>
      <c r="F62" s="10"/>
      <c r="G62" s="12">
        <f t="shared" si="1"/>
        <v>3</v>
      </c>
      <c r="H62" s="10"/>
    </row>
    <row r="63" spans="1:8" x14ac:dyDescent="0.3">
      <c r="A63" s="12" t="s">
        <v>238</v>
      </c>
      <c r="B63" s="12" t="s">
        <v>239</v>
      </c>
      <c r="C63" s="12" t="s">
        <v>108</v>
      </c>
      <c r="D63" s="12" t="s">
        <v>109</v>
      </c>
      <c r="E63" s="12" t="s">
        <v>237</v>
      </c>
      <c r="F63" s="10"/>
      <c r="G63" s="12">
        <f t="shared" si="1"/>
        <v>3</v>
      </c>
      <c r="H63" s="10"/>
    </row>
    <row r="64" spans="1:8" x14ac:dyDescent="0.3">
      <c r="A64" s="12" t="s">
        <v>240</v>
      </c>
      <c r="B64" s="12" t="s">
        <v>241</v>
      </c>
      <c r="C64" s="12" t="s">
        <v>108</v>
      </c>
      <c r="D64" s="12" t="s">
        <v>109</v>
      </c>
      <c r="E64" s="12" t="s">
        <v>237</v>
      </c>
      <c r="F64" s="10"/>
      <c r="G64" s="12">
        <f t="shared" si="1"/>
        <v>3</v>
      </c>
      <c r="H64" s="10"/>
    </row>
    <row r="65" spans="1:8" x14ac:dyDescent="0.3">
      <c r="A65" s="12" t="s">
        <v>242</v>
      </c>
      <c r="B65" s="12" t="s">
        <v>243</v>
      </c>
      <c r="C65" s="12" t="s">
        <v>117</v>
      </c>
      <c r="D65" s="12" t="s">
        <v>109</v>
      </c>
      <c r="E65" s="12" t="s">
        <v>237</v>
      </c>
      <c r="F65" s="10"/>
      <c r="G65" s="12">
        <f t="shared" si="1"/>
        <v>2</v>
      </c>
      <c r="H65" s="10"/>
    </row>
    <row r="66" spans="1:8" x14ac:dyDescent="0.3">
      <c r="A66" s="12" t="s">
        <v>244</v>
      </c>
      <c r="B66" s="12" t="s">
        <v>245</v>
      </c>
      <c r="C66" s="12" t="s">
        <v>117</v>
      </c>
      <c r="D66" s="12" t="s">
        <v>109</v>
      </c>
      <c r="E66" s="12" t="s">
        <v>237</v>
      </c>
      <c r="F66" s="10"/>
      <c r="G66" s="12">
        <f t="shared" si="1"/>
        <v>2</v>
      </c>
      <c r="H66" s="10"/>
    </row>
    <row r="67" spans="1:8" x14ac:dyDescent="0.3">
      <c r="A67" s="12" t="s">
        <v>246</v>
      </c>
      <c r="B67" s="12" t="s">
        <v>247</v>
      </c>
      <c r="C67" s="12" t="s">
        <v>117</v>
      </c>
      <c r="D67" s="12" t="s">
        <v>109</v>
      </c>
      <c r="E67" s="12" t="s">
        <v>237</v>
      </c>
      <c r="F67" s="10"/>
      <c r="G67" s="12">
        <f t="shared" si="1"/>
        <v>2</v>
      </c>
      <c r="H67" s="10"/>
    </row>
    <row r="68" spans="1:8" x14ac:dyDescent="0.3">
      <c r="A68" s="12" t="s">
        <v>248</v>
      </c>
      <c r="B68" s="12" t="s">
        <v>249</v>
      </c>
      <c r="C68" s="12" t="s">
        <v>117</v>
      </c>
      <c r="D68" s="12" t="s">
        <v>136</v>
      </c>
      <c r="E68" s="12" t="s">
        <v>237</v>
      </c>
      <c r="F68" s="10"/>
      <c r="G68" s="12">
        <f t="shared" ref="G68:G99" si="2">IF(C68="P1 - Critical",3,IF(C68="P2 - High",2,IF(C68="P3 - Medium",1,0)))</f>
        <v>2</v>
      </c>
      <c r="H68" s="10"/>
    </row>
    <row r="69" spans="1:8" x14ac:dyDescent="0.3">
      <c r="A69" s="12" t="s">
        <v>250</v>
      </c>
      <c r="B69" s="12" t="s">
        <v>251</v>
      </c>
      <c r="C69" s="12" t="s">
        <v>108</v>
      </c>
      <c r="D69" s="12" t="s">
        <v>109</v>
      </c>
      <c r="E69" s="12" t="s">
        <v>252</v>
      </c>
      <c r="F69" s="10"/>
      <c r="G69" s="12">
        <f t="shared" si="2"/>
        <v>3</v>
      </c>
      <c r="H69" s="10"/>
    </row>
    <row r="70" spans="1:8" x14ac:dyDescent="0.3">
      <c r="A70" s="12" t="s">
        <v>253</v>
      </c>
      <c r="B70" s="12" t="s">
        <v>254</v>
      </c>
      <c r="C70" s="12" t="s">
        <v>108</v>
      </c>
      <c r="D70" s="12" t="s">
        <v>109</v>
      </c>
      <c r="E70" s="12" t="s">
        <v>252</v>
      </c>
      <c r="F70" s="10"/>
      <c r="G70" s="12">
        <f t="shared" si="2"/>
        <v>3</v>
      </c>
      <c r="H70" s="10"/>
    </row>
    <row r="71" spans="1:8" x14ac:dyDescent="0.3">
      <c r="A71" s="12" t="s">
        <v>255</v>
      </c>
      <c r="B71" s="12" t="s">
        <v>256</v>
      </c>
      <c r="C71" s="12" t="s">
        <v>108</v>
      </c>
      <c r="D71" s="12" t="s">
        <v>109</v>
      </c>
      <c r="E71" s="12" t="s">
        <v>252</v>
      </c>
      <c r="F71" s="10"/>
      <c r="G71" s="12">
        <f t="shared" si="2"/>
        <v>3</v>
      </c>
      <c r="H71" s="10"/>
    </row>
    <row r="72" spans="1:8" x14ac:dyDescent="0.3">
      <c r="A72" s="12" t="s">
        <v>257</v>
      </c>
      <c r="B72" s="12" t="s">
        <v>258</v>
      </c>
      <c r="C72" s="12" t="s">
        <v>117</v>
      </c>
      <c r="D72" s="12" t="s">
        <v>136</v>
      </c>
      <c r="E72" s="12" t="s">
        <v>252</v>
      </c>
      <c r="F72" s="10"/>
      <c r="G72" s="12">
        <f t="shared" si="2"/>
        <v>2</v>
      </c>
      <c r="H72" s="10"/>
    </row>
    <row r="73" spans="1:8" x14ac:dyDescent="0.3">
      <c r="A73" s="12" t="s">
        <v>259</v>
      </c>
      <c r="B73" s="12" t="s">
        <v>260</v>
      </c>
      <c r="C73" s="12" t="s">
        <v>108</v>
      </c>
      <c r="D73" s="12" t="s">
        <v>109</v>
      </c>
      <c r="E73" s="12" t="s">
        <v>252</v>
      </c>
      <c r="F73" s="10"/>
      <c r="G73" s="12">
        <f t="shared" si="2"/>
        <v>3</v>
      </c>
      <c r="H73" s="10"/>
    </row>
    <row r="74" spans="1:8" x14ac:dyDescent="0.3">
      <c r="A74" s="12" t="s">
        <v>261</v>
      </c>
      <c r="B74" s="12" t="s">
        <v>262</v>
      </c>
      <c r="C74" s="12" t="s">
        <v>108</v>
      </c>
      <c r="D74" s="12" t="s">
        <v>109</v>
      </c>
      <c r="E74" s="12" t="s">
        <v>252</v>
      </c>
      <c r="F74" s="10"/>
      <c r="G74" s="12">
        <f t="shared" si="2"/>
        <v>3</v>
      </c>
      <c r="H74" s="10"/>
    </row>
    <row r="75" spans="1:8" x14ac:dyDescent="0.3">
      <c r="A75" s="12" t="s">
        <v>263</v>
      </c>
      <c r="B75" s="12" t="s">
        <v>264</v>
      </c>
      <c r="C75" s="12" t="s">
        <v>117</v>
      </c>
      <c r="D75" s="12" t="s">
        <v>136</v>
      </c>
      <c r="E75" s="12" t="s">
        <v>252</v>
      </c>
      <c r="F75" s="10"/>
      <c r="G75" s="12">
        <f t="shared" si="2"/>
        <v>2</v>
      </c>
      <c r="H75" s="10"/>
    </row>
    <row r="76" spans="1:8" x14ac:dyDescent="0.3">
      <c r="A76" s="12" t="s">
        <v>265</v>
      </c>
      <c r="B76" s="12" t="s">
        <v>266</v>
      </c>
      <c r="C76" s="12" t="s">
        <v>108</v>
      </c>
      <c r="D76" s="12" t="s">
        <v>109</v>
      </c>
      <c r="E76" s="12" t="s">
        <v>267</v>
      </c>
      <c r="F76" s="10"/>
      <c r="G76" s="12">
        <f t="shared" si="2"/>
        <v>3</v>
      </c>
      <c r="H76" s="10"/>
    </row>
    <row r="77" spans="1:8" x14ac:dyDescent="0.3">
      <c r="A77" s="12" t="s">
        <v>268</v>
      </c>
      <c r="B77" s="12" t="s">
        <v>269</v>
      </c>
      <c r="C77" s="12" t="s">
        <v>108</v>
      </c>
      <c r="D77" s="12" t="s">
        <v>109</v>
      </c>
      <c r="E77" s="12" t="s">
        <v>267</v>
      </c>
      <c r="F77" s="10"/>
      <c r="G77" s="12">
        <f t="shared" si="2"/>
        <v>3</v>
      </c>
      <c r="H77" s="10"/>
    </row>
    <row r="78" spans="1:8" x14ac:dyDescent="0.3">
      <c r="A78" s="12" t="s">
        <v>270</v>
      </c>
      <c r="B78" s="12" t="s">
        <v>271</v>
      </c>
      <c r="C78" s="12" t="s">
        <v>117</v>
      </c>
      <c r="D78" s="12" t="s">
        <v>109</v>
      </c>
      <c r="E78" s="12" t="s">
        <v>267</v>
      </c>
      <c r="F78" s="10"/>
      <c r="G78" s="12">
        <f t="shared" si="2"/>
        <v>2</v>
      </c>
      <c r="H78" s="10"/>
    </row>
    <row r="79" spans="1:8" x14ac:dyDescent="0.3">
      <c r="A79" s="12" t="s">
        <v>272</v>
      </c>
      <c r="B79" s="12" t="s">
        <v>273</v>
      </c>
      <c r="C79" s="12" t="s">
        <v>108</v>
      </c>
      <c r="D79" s="12" t="s">
        <v>128</v>
      </c>
      <c r="E79" s="12" t="s">
        <v>267</v>
      </c>
      <c r="F79" s="10"/>
      <c r="G79" s="12">
        <f t="shared" si="2"/>
        <v>3</v>
      </c>
      <c r="H79" s="10"/>
    </row>
    <row r="80" spans="1:8" x14ac:dyDescent="0.3">
      <c r="A80" s="12" t="s">
        <v>274</v>
      </c>
      <c r="B80" s="12" t="s">
        <v>275</v>
      </c>
      <c r="C80" s="12" t="s">
        <v>117</v>
      </c>
      <c r="D80" s="12" t="s">
        <v>109</v>
      </c>
      <c r="E80" s="12" t="s">
        <v>267</v>
      </c>
      <c r="F80" s="10"/>
      <c r="G80" s="12">
        <f t="shared" si="2"/>
        <v>2</v>
      </c>
      <c r="H80" s="10"/>
    </row>
    <row r="81" spans="1:8" x14ac:dyDescent="0.3">
      <c r="A81" s="12" t="s">
        <v>276</v>
      </c>
      <c r="B81" s="12" t="s">
        <v>277</v>
      </c>
      <c r="C81" s="12" t="s">
        <v>117</v>
      </c>
      <c r="D81" s="12" t="s">
        <v>109</v>
      </c>
      <c r="E81" s="12" t="s">
        <v>267</v>
      </c>
      <c r="F81" s="10"/>
      <c r="G81" s="12">
        <f t="shared" si="2"/>
        <v>2</v>
      </c>
      <c r="H81" s="10"/>
    </row>
    <row r="82" spans="1:8" x14ac:dyDescent="0.3">
      <c r="A82" s="12" t="s">
        <v>278</v>
      </c>
      <c r="B82" s="12" t="s">
        <v>279</v>
      </c>
      <c r="C82" s="12" t="s">
        <v>108</v>
      </c>
      <c r="D82" s="12" t="s">
        <v>109</v>
      </c>
      <c r="E82" s="12" t="s">
        <v>267</v>
      </c>
      <c r="F82" s="10"/>
      <c r="G82" s="12">
        <f t="shared" si="2"/>
        <v>3</v>
      </c>
      <c r="H82" s="10"/>
    </row>
    <row r="83" spans="1:8" x14ac:dyDescent="0.3">
      <c r="A83" s="12" t="s">
        <v>280</v>
      </c>
      <c r="B83" s="12" t="s">
        <v>281</v>
      </c>
      <c r="C83" s="12" t="s">
        <v>108</v>
      </c>
      <c r="D83" s="12" t="s">
        <v>109</v>
      </c>
      <c r="E83" s="12" t="s">
        <v>282</v>
      </c>
      <c r="F83" s="10"/>
      <c r="G83" s="12">
        <f t="shared" si="2"/>
        <v>3</v>
      </c>
      <c r="H83" s="10"/>
    </row>
    <row r="84" spans="1:8" x14ac:dyDescent="0.3">
      <c r="A84" s="12" t="s">
        <v>283</v>
      </c>
      <c r="B84" s="12" t="s">
        <v>284</v>
      </c>
      <c r="C84" s="12" t="s">
        <v>108</v>
      </c>
      <c r="D84" s="12" t="s">
        <v>109</v>
      </c>
      <c r="E84" s="12" t="s">
        <v>282</v>
      </c>
      <c r="F84" s="10"/>
      <c r="G84" s="12">
        <f t="shared" si="2"/>
        <v>3</v>
      </c>
      <c r="H84" s="10"/>
    </row>
    <row r="85" spans="1:8" x14ac:dyDescent="0.3">
      <c r="A85" s="12" t="s">
        <v>285</v>
      </c>
      <c r="B85" s="12" t="s">
        <v>286</v>
      </c>
      <c r="C85" s="12" t="s">
        <v>117</v>
      </c>
      <c r="D85" s="12" t="s">
        <v>109</v>
      </c>
      <c r="E85" s="12" t="s">
        <v>282</v>
      </c>
      <c r="F85" s="10"/>
      <c r="G85" s="12">
        <f t="shared" si="2"/>
        <v>2</v>
      </c>
      <c r="H85" s="10"/>
    </row>
    <row r="86" spans="1:8" x14ac:dyDescent="0.3">
      <c r="A86" s="12" t="s">
        <v>287</v>
      </c>
      <c r="B86" s="12" t="s">
        <v>288</v>
      </c>
      <c r="C86" s="12" t="s">
        <v>117</v>
      </c>
      <c r="D86" s="12" t="s">
        <v>109</v>
      </c>
      <c r="E86" s="12" t="s">
        <v>282</v>
      </c>
      <c r="F86" s="10"/>
      <c r="G86" s="12">
        <f t="shared" si="2"/>
        <v>2</v>
      </c>
      <c r="H86" s="10"/>
    </row>
    <row r="87" spans="1:8" x14ac:dyDescent="0.3">
      <c r="A87" s="12" t="s">
        <v>289</v>
      </c>
      <c r="B87" s="12" t="s">
        <v>290</v>
      </c>
      <c r="C87" s="12" t="s">
        <v>117</v>
      </c>
      <c r="D87" s="12" t="s">
        <v>109</v>
      </c>
      <c r="E87" s="12" t="s">
        <v>282</v>
      </c>
      <c r="F87" s="10"/>
      <c r="G87" s="12">
        <f t="shared" si="2"/>
        <v>2</v>
      </c>
      <c r="H87" s="10"/>
    </row>
    <row r="88" spans="1:8" x14ac:dyDescent="0.3">
      <c r="A88" s="12" t="s">
        <v>291</v>
      </c>
      <c r="B88" s="12" t="s">
        <v>292</v>
      </c>
      <c r="C88" s="12" t="s">
        <v>117</v>
      </c>
      <c r="D88" s="12" t="s">
        <v>136</v>
      </c>
      <c r="E88" s="12" t="s">
        <v>282</v>
      </c>
      <c r="F88" s="10"/>
      <c r="G88" s="12">
        <f t="shared" si="2"/>
        <v>2</v>
      </c>
      <c r="H88" s="10"/>
    </row>
    <row r="89" spans="1:8" x14ac:dyDescent="0.3">
      <c r="A89" s="12" t="s">
        <v>293</v>
      </c>
      <c r="B89" s="12" t="s">
        <v>294</v>
      </c>
      <c r="C89" s="12" t="s">
        <v>108</v>
      </c>
      <c r="D89" s="12" t="s">
        <v>109</v>
      </c>
      <c r="E89" s="12" t="s">
        <v>295</v>
      </c>
      <c r="F89" s="10"/>
      <c r="G89" s="12">
        <f t="shared" si="2"/>
        <v>3</v>
      </c>
      <c r="H89" s="10"/>
    </row>
    <row r="90" spans="1:8" x14ac:dyDescent="0.3">
      <c r="A90" s="12" t="s">
        <v>296</v>
      </c>
      <c r="B90" s="12" t="s">
        <v>297</v>
      </c>
      <c r="C90" s="12" t="s">
        <v>117</v>
      </c>
      <c r="D90" s="12" t="s">
        <v>109</v>
      </c>
      <c r="E90" s="12" t="s">
        <v>295</v>
      </c>
      <c r="F90" s="10"/>
      <c r="G90" s="12">
        <f t="shared" si="2"/>
        <v>2</v>
      </c>
      <c r="H90" s="10"/>
    </row>
    <row r="91" spans="1:8" x14ac:dyDescent="0.3">
      <c r="A91" s="12" t="s">
        <v>298</v>
      </c>
      <c r="B91" s="12" t="s">
        <v>299</v>
      </c>
      <c r="C91" s="12" t="s">
        <v>117</v>
      </c>
      <c r="D91" s="12" t="s">
        <v>109</v>
      </c>
      <c r="E91" s="12" t="s">
        <v>295</v>
      </c>
      <c r="F91" s="10"/>
      <c r="G91" s="12">
        <f t="shared" si="2"/>
        <v>2</v>
      </c>
      <c r="H91" s="10"/>
    </row>
    <row r="92" spans="1:8" x14ac:dyDescent="0.3">
      <c r="A92" s="12" t="s">
        <v>300</v>
      </c>
      <c r="B92" s="12" t="s">
        <v>301</v>
      </c>
      <c r="C92" s="12" t="s">
        <v>117</v>
      </c>
      <c r="D92" s="12" t="s">
        <v>136</v>
      </c>
      <c r="E92" s="12" t="s">
        <v>295</v>
      </c>
      <c r="F92" s="10"/>
      <c r="G92" s="12">
        <f t="shared" si="2"/>
        <v>2</v>
      </c>
      <c r="H92" s="10"/>
    </row>
    <row r="93" spans="1:8" x14ac:dyDescent="0.3">
      <c r="A93" s="12" t="s">
        <v>302</v>
      </c>
      <c r="B93" s="12" t="s">
        <v>303</v>
      </c>
      <c r="C93" s="12" t="s">
        <v>183</v>
      </c>
      <c r="D93" s="12" t="s">
        <v>136</v>
      </c>
      <c r="E93" s="12" t="s">
        <v>295</v>
      </c>
      <c r="F93" s="10"/>
      <c r="G93" s="12">
        <f t="shared" si="2"/>
        <v>1</v>
      </c>
      <c r="H93" s="10"/>
    </row>
    <row r="94" spans="1:8" x14ac:dyDescent="0.3">
      <c r="A94" s="12" t="s">
        <v>304</v>
      </c>
      <c r="B94" s="12" t="s">
        <v>305</v>
      </c>
      <c r="C94" s="12" t="s">
        <v>183</v>
      </c>
      <c r="D94" s="12" t="s">
        <v>136</v>
      </c>
      <c r="E94" s="12" t="s">
        <v>295</v>
      </c>
      <c r="F94" s="10"/>
      <c r="G94" s="12">
        <f t="shared" si="2"/>
        <v>1</v>
      </c>
      <c r="H94" s="10"/>
    </row>
    <row r="95" spans="1:8" x14ac:dyDescent="0.3">
      <c r="A95" s="12" t="s">
        <v>306</v>
      </c>
      <c r="B95" s="12" t="s">
        <v>307</v>
      </c>
      <c r="C95" s="12" t="s">
        <v>117</v>
      </c>
      <c r="D95" s="12" t="s">
        <v>136</v>
      </c>
      <c r="E95" s="12" t="s">
        <v>295</v>
      </c>
      <c r="F95" s="10"/>
      <c r="G95" s="12">
        <f t="shared" si="2"/>
        <v>2</v>
      </c>
      <c r="H95" s="10"/>
    </row>
    <row r="96" spans="1:8" x14ac:dyDescent="0.3">
      <c r="A96" s="12" t="s">
        <v>308</v>
      </c>
      <c r="B96" s="12" t="s">
        <v>309</v>
      </c>
      <c r="C96" s="12" t="s">
        <v>108</v>
      </c>
      <c r="D96" s="12" t="s">
        <v>109</v>
      </c>
      <c r="E96" s="12" t="s">
        <v>310</v>
      </c>
      <c r="F96" s="10"/>
      <c r="G96" s="12">
        <f t="shared" si="2"/>
        <v>3</v>
      </c>
      <c r="H96" s="10"/>
    </row>
    <row r="97" spans="1:8" x14ac:dyDescent="0.3">
      <c r="A97" s="12" t="s">
        <v>311</v>
      </c>
      <c r="B97" s="12" t="s">
        <v>312</v>
      </c>
      <c r="C97" s="12" t="s">
        <v>108</v>
      </c>
      <c r="D97" s="12" t="s">
        <v>109</v>
      </c>
      <c r="E97" s="12" t="s">
        <v>310</v>
      </c>
      <c r="F97" s="10"/>
      <c r="G97" s="12">
        <f t="shared" si="2"/>
        <v>3</v>
      </c>
      <c r="H97" s="10"/>
    </row>
    <row r="98" spans="1:8" x14ac:dyDescent="0.3">
      <c r="A98" s="12" t="s">
        <v>313</v>
      </c>
      <c r="B98" s="12" t="s">
        <v>314</v>
      </c>
      <c r="C98" s="12" t="s">
        <v>108</v>
      </c>
      <c r="D98" s="12" t="s">
        <v>109</v>
      </c>
      <c r="E98" s="12" t="s">
        <v>310</v>
      </c>
      <c r="F98" s="10"/>
      <c r="G98" s="12">
        <f t="shared" si="2"/>
        <v>3</v>
      </c>
      <c r="H98" s="10"/>
    </row>
    <row r="99" spans="1:8" x14ac:dyDescent="0.3">
      <c r="A99" s="12" t="s">
        <v>315</v>
      </c>
      <c r="B99" s="12" t="s">
        <v>316</v>
      </c>
      <c r="C99" s="12" t="s">
        <v>117</v>
      </c>
      <c r="D99" s="12" t="s">
        <v>109</v>
      </c>
      <c r="E99" s="12" t="s">
        <v>310</v>
      </c>
      <c r="F99" s="10"/>
      <c r="G99" s="12">
        <f t="shared" si="2"/>
        <v>2</v>
      </c>
      <c r="H99" s="10"/>
    </row>
    <row r="100" spans="1:8" x14ac:dyDescent="0.3">
      <c r="A100" s="12" t="s">
        <v>317</v>
      </c>
      <c r="B100" s="12" t="s">
        <v>318</v>
      </c>
      <c r="C100" s="12" t="s">
        <v>117</v>
      </c>
      <c r="D100" s="12" t="s">
        <v>109</v>
      </c>
      <c r="E100" s="12" t="s">
        <v>310</v>
      </c>
      <c r="F100" s="10"/>
      <c r="G100" s="12">
        <f t="shared" ref="G100:G110" si="3">IF(C100="P1 - Critical",3,IF(C100="P2 - High",2,IF(C100="P3 - Medium",1,0)))</f>
        <v>2</v>
      </c>
      <c r="H100" s="10"/>
    </row>
    <row r="101" spans="1:8" x14ac:dyDescent="0.3">
      <c r="A101" s="12" t="s">
        <v>319</v>
      </c>
      <c r="B101" s="12" t="s">
        <v>320</v>
      </c>
      <c r="C101" s="12" t="s">
        <v>117</v>
      </c>
      <c r="D101" s="12" t="s">
        <v>109</v>
      </c>
      <c r="E101" s="12" t="s">
        <v>310</v>
      </c>
      <c r="F101" s="10"/>
      <c r="G101" s="12">
        <f t="shared" si="3"/>
        <v>2</v>
      </c>
      <c r="H101" s="10"/>
    </row>
    <row r="102" spans="1:8" x14ac:dyDescent="0.3">
      <c r="A102" s="12" t="s">
        <v>321</v>
      </c>
      <c r="B102" s="12" t="s">
        <v>322</v>
      </c>
      <c r="C102" s="12" t="s">
        <v>108</v>
      </c>
      <c r="D102" s="12" t="s">
        <v>109</v>
      </c>
      <c r="E102" s="12" t="s">
        <v>310</v>
      </c>
      <c r="F102" s="10"/>
      <c r="G102" s="12">
        <f t="shared" si="3"/>
        <v>3</v>
      </c>
      <c r="H102" s="10"/>
    </row>
    <row r="103" spans="1:8" x14ac:dyDescent="0.3">
      <c r="A103" s="12" t="s">
        <v>323</v>
      </c>
      <c r="B103" s="12" t="s">
        <v>324</v>
      </c>
      <c r="C103" s="12" t="s">
        <v>108</v>
      </c>
      <c r="D103" s="12" t="s">
        <v>109</v>
      </c>
      <c r="E103" s="12" t="s">
        <v>325</v>
      </c>
      <c r="F103" s="10"/>
      <c r="G103" s="12">
        <f t="shared" si="3"/>
        <v>3</v>
      </c>
      <c r="H103" s="10"/>
    </row>
    <row r="104" spans="1:8" x14ac:dyDescent="0.3">
      <c r="A104" s="12" t="s">
        <v>326</v>
      </c>
      <c r="B104" s="12" t="s">
        <v>327</v>
      </c>
      <c r="C104" s="12" t="s">
        <v>108</v>
      </c>
      <c r="D104" s="12" t="s">
        <v>109</v>
      </c>
      <c r="E104" s="12" t="s">
        <v>325</v>
      </c>
      <c r="F104" s="10"/>
      <c r="G104" s="12">
        <f t="shared" si="3"/>
        <v>3</v>
      </c>
      <c r="H104" s="10"/>
    </row>
    <row r="105" spans="1:8" x14ac:dyDescent="0.3">
      <c r="A105" s="12" t="s">
        <v>328</v>
      </c>
      <c r="B105" s="12" t="s">
        <v>329</v>
      </c>
      <c r="C105" s="12" t="s">
        <v>117</v>
      </c>
      <c r="D105" s="12" t="s">
        <v>109</v>
      </c>
      <c r="E105" s="12" t="s">
        <v>325</v>
      </c>
      <c r="F105" s="10"/>
      <c r="G105" s="12">
        <f t="shared" si="3"/>
        <v>2</v>
      </c>
      <c r="H105" s="10"/>
    </row>
    <row r="106" spans="1:8" x14ac:dyDescent="0.3">
      <c r="A106" s="12" t="s">
        <v>330</v>
      </c>
      <c r="B106" s="12" t="s">
        <v>331</v>
      </c>
      <c r="C106" s="12" t="s">
        <v>117</v>
      </c>
      <c r="D106" s="12" t="s">
        <v>109</v>
      </c>
      <c r="E106" s="12" t="s">
        <v>325</v>
      </c>
      <c r="F106" s="10"/>
      <c r="G106" s="12">
        <f t="shared" si="3"/>
        <v>2</v>
      </c>
      <c r="H106" s="10"/>
    </row>
    <row r="107" spans="1:8" x14ac:dyDescent="0.3">
      <c r="A107" s="12" t="s">
        <v>332</v>
      </c>
      <c r="B107" s="12" t="s">
        <v>333</v>
      </c>
      <c r="C107" s="12" t="s">
        <v>117</v>
      </c>
      <c r="D107" s="12" t="s">
        <v>109</v>
      </c>
      <c r="E107" s="12" t="s">
        <v>325</v>
      </c>
      <c r="F107" s="10"/>
      <c r="G107" s="12">
        <f t="shared" si="3"/>
        <v>2</v>
      </c>
      <c r="H107" s="10"/>
    </row>
    <row r="108" spans="1:8" x14ac:dyDescent="0.3">
      <c r="A108" s="12" t="s">
        <v>334</v>
      </c>
      <c r="B108" s="12" t="s">
        <v>335</v>
      </c>
      <c r="C108" s="12" t="s">
        <v>117</v>
      </c>
      <c r="D108" s="12" t="s">
        <v>109</v>
      </c>
      <c r="E108" s="12" t="s">
        <v>325</v>
      </c>
      <c r="F108" s="10"/>
      <c r="G108" s="12">
        <f t="shared" si="3"/>
        <v>2</v>
      </c>
      <c r="H108" s="10"/>
    </row>
    <row r="109" spans="1:8" x14ac:dyDescent="0.3">
      <c r="A109" s="12" t="s">
        <v>336</v>
      </c>
      <c r="B109" s="12" t="s">
        <v>337</v>
      </c>
      <c r="C109" s="12" t="s">
        <v>183</v>
      </c>
      <c r="D109" s="12" t="s">
        <v>109</v>
      </c>
      <c r="E109" s="12" t="s">
        <v>325</v>
      </c>
      <c r="F109" s="10"/>
      <c r="G109" s="12">
        <f t="shared" si="3"/>
        <v>1</v>
      </c>
      <c r="H109" s="10"/>
    </row>
    <row r="110" spans="1:8" x14ac:dyDescent="0.3">
      <c r="A110" s="12" t="s">
        <v>338</v>
      </c>
      <c r="B110" s="12" t="s">
        <v>339</v>
      </c>
      <c r="C110" s="12" t="s">
        <v>117</v>
      </c>
      <c r="D110" s="12" t="s">
        <v>109</v>
      </c>
      <c r="E110" s="12" t="s">
        <v>325</v>
      </c>
      <c r="F110" s="10"/>
      <c r="G110" s="12">
        <f t="shared" si="3"/>
        <v>2</v>
      </c>
      <c r="H110" s="10"/>
    </row>
  </sheetData>
  <dataValidations count="1">
    <dataValidation type="list" allowBlank="1"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xr:uid="{00000000-0002-0000-0200-000000000000}">
      <formula1>"Yes,No,Partial,N/A"</formula1>
    </dataValidation>
  </dataValidation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workbookViewId="0"/>
  </sheetViews>
  <sheetFormatPr defaultRowHeight="14.4" x14ac:dyDescent="0.3"/>
  <cols>
    <col min="1" max="6" width="18" customWidth="1"/>
  </cols>
  <sheetData>
    <row r="1" spans="1:6" ht="18" x14ac:dyDescent="0.35">
      <c r="A1" s="22" t="s">
        <v>340</v>
      </c>
    </row>
    <row r="2" spans="1:6" x14ac:dyDescent="0.3">
      <c r="A2" s="8" t="s">
        <v>341</v>
      </c>
      <c r="B2" s="8" t="s">
        <v>342</v>
      </c>
      <c r="C2" s="8" t="s">
        <v>343</v>
      </c>
      <c r="D2" s="8" t="s">
        <v>344</v>
      </c>
      <c r="E2" s="8" t="s">
        <v>345</v>
      </c>
      <c r="F2" s="8" t="s">
        <v>346</v>
      </c>
    </row>
    <row r="3" spans="1:6" ht="18" x14ac:dyDescent="0.3">
      <c r="A3" s="23" t="s">
        <v>347</v>
      </c>
      <c r="B3" s="24">
        <v>5</v>
      </c>
      <c r="C3" s="25">
        <v>10</v>
      </c>
      <c r="D3" s="26">
        <v>15</v>
      </c>
      <c r="E3" s="27">
        <v>20</v>
      </c>
      <c r="F3" s="27">
        <v>25</v>
      </c>
    </row>
    <row r="4" spans="1:6" ht="18" x14ac:dyDescent="0.3">
      <c r="A4" s="23" t="s">
        <v>348</v>
      </c>
      <c r="B4" s="24">
        <v>4</v>
      </c>
      <c r="C4" s="25">
        <v>8</v>
      </c>
      <c r="D4" s="26">
        <v>12</v>
      </c>
      <c r="E4" s="26">
        <v>16</v>
      </c>
      <c r="F4" s="27">
        <v>20</v>
      </c>
    </row>
    <row r="5" spans="1:6" ht="18" x14ac:dyDescent="0.3">
      <c r="A5" s="23" t="s">
        <v>349</v>
      </c>
      <c r="B5" s="24">
        <v>3</v>
      </c>
      <c r="C5" s="25">
        <v>6</v>
      </c>
      <c r="D5" s="25">
        <v>9</v>
      </c>
      <c r="E5" s="26">
        <v>12</v>
      </c>
      <c r="F5" s="26">
        <v>15</v>
      </c>
    </row>
    <row r="6" spans="1:6" ht="18" x14ac:dyDescent="0.3">
      <c r="A6" s="23" t="s">
        <v>350</v>
      </c>
      <c r="B6" s="24">
        <v>2</v>
      </c>
      <c r="C6" s="24">
        <v>4</v>
      </c>
      <c r="D6" s="25">
        <v>6</v>
      </c>
      <c r="E6" s="25">
        <v>8</v>
      </c>
      <c r="F6" s="25">
        <v>10</v>
      </c>
    </row>
    <row r="7" spans="1:6" ht="18" x14ac:dyDescent="0.3">
      <c r="A7" s="23" t="s">
        <v>351</v>
      </c>
      <c r="B7" s="24">
        <v>1</v>
      </c>
      <c r="C7" s="24">
        <v>2</v>
      </c>
      <c r="D7" s="24">
        <v>3</v>
      </c>
      <c r="E7" s="24">
        <v>4</v>
      </c>
      <c r="F7" s="24">
        <v>5</v>
      </c>
    </row>
    <row r="10" spans="1:6" ht="15.6" x14ac:dyDescent="0.3">
      <c r="A10" s="28" t="s">
        <v>18</v>
      </c>
    </row>
    <row r="11" spans="1:6" x14ac:dyDescent="0.3">
      <c r="A11" s="29" t="s">
        <v>352</v>
      </c>
      <c r="B11" s="35" t="s">
        <v>353</v>
      </c>
      <c r="C11" s="35"/>
      <c r="D11" s="35"/>
      <c r="E11" s="35"/>
      <c r="F11" s="35"/>
    </row>
    <row r="12" spans="1:6" x14ac:dyDescent="0.3">
      <c r="A12" s="30" t="s">
        <v>354</v>
      </c>
      <c r="B12" s="35" t="s">
        <v>355</v>
      </c>
      <c r="C12" s="35"/>
      <c r="D12" s="35"/>
      <c r="E12" s="35"/>
      <c r="F12" s="35"/>
    </row>
    <row r="13" spans="1:6" x14ac:dyDescent="0.3">
      <c r="A13" s="31" t="s">
        <v>356</v>
      </c>
      <c r="B13" s="35" t="s">
        <v>357</v>
      </c>
      <c r="C13" s="35"/>
      <c r="D13" s="35"/>
      <c r="E13" s="35"/>
      <c r="F13" s="35"/>
    </row>
    <row r="14" spans="1:6" x14ac:dyDescent="0.3">
      <c r="A14" s="32" t="s">
        <v>358</v>
      </c>
      <c r="B14" s="35" t="s">
        <v>359</v>
      </c>
      <c r="C14" s="35"/>
      <c r="D14" s="35"/>
      <c r="E14" s="35"/>
      <c r="F14" s="35"/>
    </row>
    <row r="16" spans="1:6" ht="15.6" x14ac:dyDescent="0.3">
      <c r="A16" s="28" t="s">
        <v>360</v>
      </c>
    </row>
    <row r="17" spans="1:6" x14ac:dyDescent="0.3">
      <c r="A17" s="8" t="s">
        <v>361</v>
      </c>
      <c r="B17" s="8" t="s">
        <v>362</v>
      </c>
      <c r="C17" s="8" t="s">
        <v>363</v>
      </c>
      <c r="D17" s="8" t="s">
        <v>364</v>
      </c>
      <c r="E17" s="8" t="s">
        <v>365</v>
      </c>
      <c r="F17" s="8" t="s">
        <v>366</v>
      </c>
    </row>
    <row r="18" spans="1:6" x14ac:dyDescent="0.3">
      <c r="A18" s="33" t="s">
        <v>367</v>
      </c>
      <c r="B18" s="33" t="s">
        <v>368</v>
      </c>
      <c r="C18" s="33" t="s">
        <v>368</v>
      </c>
      <c r="D18" s="33" t="s">
        <v>368</v>
      </c>
      <c r="E18" s="33" t="s">
        <v>369</v>
      </c>
      <c r="F18" s="33" t="s">
        <v>370</v>
      </c>
    </row>
    <row r="19" spans="1:6" x14ac:dyDescent="0.3">
      <c r="A19" s="33" t="s">
        <v>371</v>
      </c>
      <c r="B19" s="33" t="s">
        <v>368</v>
      </c>
      <c r="C19" s="33" t="s">
        <v>368</v>
      </c>
      <c r="D19" s="33" t="s">
        <v>372</v>
      </c>
      <c r="E19" s="33" t="s">
        <v>373</v>
      </c>
      <c r="F19" s="33" t="s">
        <v>374</v>
      </c>
    </row>
    <row r="20" spans="1:6" x14ac:dyDescent="0.3">
      <c r="A20" s="33" t="s">
        <v>375</v>
      </c>
      <c r="B20" s="33" t="s">
        <v>368</v>
      </c>
      <c r="C20" s="33" t="s">
        <v>372</v>
      </c>
      <c r="D20" s="33" t="s">
        <v>376</v>
      </c>
      <c r="E20" s="33" t="s">
        <v>377</v>
      </c>
      <c r="F20" s="33" t="s">
        <v>378</v>
      </c>
    </row>
    <row r="21" spans="1:6" x14ac:dyDescent="0.3">
      <c r="A21" s="33" t="s">
        <v>379</v>
      </c>
      <c r="B21" s="33" t="s">
        <v>368</v>
      </c>
      <c r="C21" s="33" t="s">
        <v>376</v>
      </c>
      <c r="D21" s="33" t="s">
        <v>376</v>
      </c>
      <c r="E21" s="33" t="s">
        <v>380</v>
      </c>
      <c r="F21" s="33" t="s">
        <v>378</v>
      </c>
    </row>
  </sheetData>
  <mergeCells count="4">
    <mergeCell ref="B12:F12"/>
    <mergeCell ref="B11:F11"/>
    <mergeCell ref="B13:F13"/>
    <mergeCell ref="B14:F14"/>
  </mergeCell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8"/>
  <sheetViews>
    <sheetView workbookViewId="0"/>
  </sheetViews>
  <sheetFormatPr defaultRowHeight="14.4" x14ac:dyDescent="0.3"/>
  <cols>
    <col min="1" max="1" width="12" customWidth="1"/>
    <col min="2" max="2" width="55" customWidth="1"/>
    <col min="3" max="3" width="14" customWidth="1"/>
    <col min="4" max="4" width="16" customWidth="1"/>
    <col min="5" max="5" width="22" customWidth="1"/>
    <col min="6" max="6" width="14" customWidth="1"/>
  </cols>
  <sheetData>
    <row r="1" spans="1:6" x14ac:dyDescent="0.3">
      <c r="A1" s="8" t="s">
        <v>98</v>
      </c>
      <c r="B1" s="8" t="s">
        <v>99</v>
      </c>
      <c r="C1" s="8" t="s">
        <v>100</v>
      </c>
      <c r="D1" s="8" t="s">
        <v>101</v>
      </c>
      <c r="E1" s="8" t="s">
        <v>102</v>
      </c>
      <c r="F1" s="8" t="s">
        <v>381</v>
      </c>
    </row>
    <row r="2" spans="1:6" x14ac:dyDescent="0.3">
      <c r="A2" s="12" t="s">
        <v>106</v>
      </c>
      <c r="B2" s="12" t="s">
        <v>107</v>
      </c>
      <c r="C2" s="12" t="s">
        <v>108</v>
      </c>
      <c r="D2" s="12" t="s">
        <v>109</v>
      </c>
      <c r="E2" s="12" t="s">
        <v>110</v>
      </c>
      <c r="F2" s="12" t="s">
        <v>382</v>
      </c>
    </row>
    <row r="3" spans="1:6" x14ac:dyDescent="0.3">
      <c r="A3" s="12" t="s">
        <v>111</v>
      </c>
      <c r="B3" s="12" t="s">
        <v>112</v>
      </c>
      <c r="C3" s="12" t="s">
        <v>108</v>
      </c>
      <c r="D3" s="12" t="s">
        <v>109</v>
      </c>
      <c r="E3" s="12" t="s">
        <v>110</v>
      </c>
      <c r="F3" s="12" t="s">
        <v>382</v>
      </c>
    </row>
    <row r="4" spans="1:6" x14ac:dyDescent="0.3">
      <c r="A4" s="12" t="s">
        <v>113</v>
      </c>
      <c r="B4" s="12" t="s">
        <v>114</v>
      </c>
      <c r="C4" s="12" t="s">
        <v>108</v>
      </c>
      <c r="D4" s="12" t="s">
        <v>109</v>
      </c>
      <c r="E4" s="12" t="s">
        <v>110</v>
      </c>
      <c r="F4" s="12" t="s">
        <v>382</v>
      </c>
    </row>
    <row r="5" spans="1:6" x14ac:dyDescent="0.3">
      <c r="A5" s="12" t="s">
        <v>115</v>
      </c>
      <c r="B5" s="12" t="s">
        <v>116</v>
      </c>
      <c r="C5" s="12" t="s">
        <v>117</v>
      </c>
      <c r="D5" s="12" t="s">
        <v>109</v>
      </c>
      <c r="E5" s="12" t="s">
        <v>110</v>
      </c>
      <c r="F5" s="12" t="s">
        <v>372</v>
      </c>
    </row>
    <row r="6" spans="1:6" x14ac:dyDescent="0.3">
      <c r="A6" s="12" t="s">
        <v>118</v>
      </c>
      <c r="B6" s="12" t="s">
        <v>119</v>
      </c>
      <c r="C6" s="12" t="s">
        <v>108</v>
      </c>
      <c r="D6" s="12" t="s">
        <v>109</v>
      </c>
      <c r="E6" s="12" t="s">
        <v>110</v>
      </c>
      <c r="F6" s="12" t="s">
        <v>382</v>
      </c>
    </row>
    <row r="7" spans="1:6" x14ac:dyDescent="0.3">
      <c r="A7" s="12" t="s">
        <v>120</v>
      </c>
      <c r="B7" s="12" t="s">
        <v>121</v>
      </c>
      <c r="C7" s="12" t="s">
        <v>117</v>
      </c>
      <c r="D7" s="12" t="s">
        <v>109</v>
      </c>
      <c r="E7" s="12" t="s">
        <v>110</v>
      </c>
      <c r="F7" s="12" t="s">
        <v>372</v>
      </c>
    </row>
    <row r="8" spans="1:6" x14ac:dyDescent="0.3">
      <c r="A8" s="12" t="s">
        <v>122</v>
      </c>
      <c r="B8" s="12" t="s">
        <v>123</v>
      </c>
      <c r="C8" s="12" t="s">
        <v>117</v>
      </c>
      <c r="D8" s="12" t="s">
        <v>109</v>
      </c>
      <c r="E8" s="12" t="s">
        <v>110</v>
      </c>
      <c r="F8" s="12" t="s">
        <v>372</v>
      </c>
    </row>
    <row r="9" spans="1:6" x14ac:dyDescent="0.3">
      <c r="A9" s="12" t="s">
        <v>124</v>
      </c>
      <c r="B9" s="12" t="s">
        <v>125</v>
      </c>
      <c r="C9" s="12" t="s">
        <v>117</v>
      </c>
      <c r="D9" s="12" t="s">
        <v>109</v>
      </c>
      <c r="E9" s="12" t="s">
        <v>110</v>
      </c>
      <c r="F9" s="12" t="s">
        <v>372</v>
      </c>
    </row>
    <row r="10" spans="1:6" x14ac:dyDescent="0.3">
      <c r="A10" s="12" t="s">
        <v>126</v>
      </c>
      <c r="B10" s="12" t="s">
        <v>127</v>
      </c>
      <c r="C10" s="12" t="s">
        <v>108</v>
      </c>
      <c r="D10" s="12" t="s">
        <v>128</v>
      </c>
      <c r="E10" s="12" t="s">
        <v>129</v>
      </c>
      <c r="F10" s="12" t="s">
        <v>382</v>
      </c>
    </row>
    <row r="11" spans="1:6" x14ac:dyDescent="0.3">
      <c r="A11" s="12" t="s">
        <v>130</v>
      </c>
      <c r="B11" s="12" t="s">
        <v>131</v>
      </c>
      <c r="C11" s="12" t="s">
        <v>108</v>
      </c>
      <c r="D11" s="12" t="s">
        <v>109</v>
      </c>
      <c r="E11" s="12" t="s">
        <v>129</v>
      </c>
      <c r="F11" s="12" t="s">
        <v>382</v>
      </c>
    </row>
    <row r="12" spans="1:6" x14ac:dyDescent="0.3">
      <c r="A12" s="12" t="s">
        <v>132</v>
      </c>
      <c r="B12" s="12" t="s">
        <v>133</v>
      </c>
      <c r="C12" s="12" t="s">
        <v>108</v>
      </c>
      <c r="D12" s="12" t="s">
        <v>109</v>
      </c>
      <c r="E12" s="12" t="s">
        <v>129</v>
      </c>
      <c r="F12" s="12" t="s">
        <v>382</v>
      </c>
    </row>
    <row r="13" spans="1:6" x14ac:dyDescent="0.3">
      <c r="A13" s="12" t="s">
        <v>134</v>
      </c>
      <c r="B13" s="12" t="s">
        <v>135</v>
      </c>
      <c r="C13" s="12" t="s">
        <v>108</v>
      </c>
      <c r="D13" s="12" t="s">
        <v>136</v>
      </c>
      <c r="E13" s="12" t="s">
        <v>129</v>
      </c>
      <c r="F13" s="12" t="s">
        <v>382</v>
      </c>
    </row>
    <row r="14" spans="1:6" x14ac:dyDescent="0.3">
      <c r="A14" s="12" t="s">
        <v>137</v>
      </c>
      <c r="B14" s="12" t="s">
        <v>138</v>
      </c>
      <c r="C14" s="12" t="s">
        <v>108</v>
      </c>
      <c r="D14" s="12" t="s">
        <v>136</v>
      </c>
      <c r="E14" s="12" t="s">
        <v>129</v>
      </c>
      <c r="F14" s="12" t="s">
        <v>382</v>
      </c>
    </row>
    <row r="15" spans="1:6" x14ac:dyDescent="0.3">
      <c r="A15" s="12" t="s">
        <v>139</v>
      </c>
      <c r="B15" s="12" t="s">
        <v>140</v>
      </c>
      <c r="C15" s="12" t="s">
        <v>117</v>
      </c>
      <c r="D15" s="12" t="s">
        <v>128</v>
      </c>
      <c r="E15" s="12" t="s">
        <v>129</v>
      </c>
      <c r="F15" s="12" t="s">
        <v>372</v>
      </c>
    </row>
    <row r="16" spans="1:6" x14ac:dyDescent="0.3">
      <c r="A16" s="12" t="s">
        <v>141</v>
      </c>
      <c r="B16" s="12" t="s">
        <v>142</v>
      </c>
      <c r="C16" s="12" t="s">
        <v>108</v>
      </c>
      <c r="D16" s="12" t="s">
        <v>109</v>
      </c>
      <c r="E16" s="12" t="s">
        <v>129</v>
      </c>
      <c r="F16" s="12" t="s">
        <v>382</v>
      </c>
    </row>
    <row r="17" spans="1:6" x14ac:dyDescent="0.3">
      <c r="A17" s="12" t="s">
        <v>143</v>
      </c>
      <c r="B17" s="12" t="s">
        <v>144</v>
      </c>
      <c r="C17" s="12" t="s">
        <v>117</v>
      </c>
      <c r="D17" s="12" t="s">
        <v>109</v>
      </c>
      <c r="E17" s="12" t="s">
        <v>129</v>
      </c>
      <c r="F17" s="12" t="s">
        <v>372</v>
      </c>
    </row>
    <row r="18" spans="1:6" x14ac:dyDescent="0.3">
      <c r="A18" s="12" t="s">
        <v>145</v>
      </c>
      <c r="B18" s="12" t="s">
        <v>146</v>
      </c>
      <c r="C18" s="12" t="s">
        <v>117</v>
      </c>
      <c r="D18" s="12" t="s">
        <v>136</v>
      </c>
      <c r="E18" s="12" t="s">
        <v>129</v>
      </c>
      <c r="F18" s="12" t="s">
        <v>372</v>
      </c>
    </row>
    <row r="19" spans="1:6" x14ac:dyDescent="0.3">
      <c r="A19" s="12" t="s">
        <v>147</v>
      </c>
      <c r="B19" s="12" t="s">
        <v>148</v>
      </c>
      <c r="C19" s="12" t="s">
        <v>108</v>
      </c>
      <c r="D19" s="12" t="s">
        <v>109</v>
      </c>
      <c r="E19" s="12" t="s">
        <v>129</v>
      </c>
      <c r="F19" s="12" t="s">
        <v>382</v>
      </c>
    </row>
    <row r="20" spans="1:6" x14ac:dyDescent="0.3">
      <c r="A20" s="12" t="s">
        <v>149</v>
      </c>
      <c r="B20" s="12" t="s">
        <v>150</v>
      </c>
      <c r="C20" s="12" t="s">
        <v>108</v>
      </c>
      <c r="D20" s="12" t="s">
        <v>109</v>
      </c>
      <c r="E20" s="12" t="s">
        <v>151</v>
      </c>
      <c r="F20" s="12" t="s">
        <v>382</v>
      </c>
    </row>
    <row r="21" spans="1:6" x14ac:dyDescent="0.3">
      <c r="A21" s="12" t="s">
        <v>152</v>
      </c>
      <c r="B21" s="12" t="s">
        <v>153</v>
      </c>
      <c r="C21" s="12" t="s">
        <v>108</v>
      </c>
      <c r="D21" s="12" t="s">
        <v>109</v>
      </c>
      <c r="E21" s="12" t="s">
        <v>151</v>
      </c>
      <c r="F21" s="12" t="s">
        <v>382</v>
      </c>
    </row>
    <row r="22" spans="1:6" x14ac:dyDescent="0.3">
      <c r="A22" s="12" t="s">
        <v>154</v>
      </c>
      <c r="B22" s="12" t="s">
        <v>155</v>
      </c>
      <c r="C22" s="12" t="s">
        <v>108</v>
      </c>
      <c r="D22" s="12" t="s">
        <v>109</v>
      </c>
      <c r="E22" s="12" t="s">
        <v>151</v>
      </c>
      <c r="F22" s="12" t="s">
        <v>382</v>
      </c>
    </row>
    <row r="23" spans="1:6" x14ac:dyDescent="0.3">
      <c r="A23" s="12" t="s">
        <v>156</v>
      </c>
      <c r="B23" s="12" t="s">
        <v>157</v>
      </c>
      <c r="C23" s="12" t="s">
        <v>108</v>
      </c>
      <c r="D23" s="12" t="s">
        <v>109</v>
      </c>
      <c r="E23" s="12" t="s">
        <v>151</v>
      </c>
      <c r="F23" s="12" t="s">
        <v>382</v>
      </c>
    </row>
    <row r="24" spans="1:6" x14ac:dyDescent="0.3">
      <c r="A24" s="12" t="s">
        <v>158</v>
      </c>
      <c r="B24" s="12" t="s">
        <v>159</v>
      </c>
      <c r="C24" s="12" t="s">
        <v>108</v>
      </c>
      <c r="D24" s="12" t="s">
        <v>109</v>
      </c>
      <c r="E24" s="12" t="s">
        <v>151</v>
      </c>
      <c r="F24" s="12" t="s">
        <v>382</v>
      </c>
    </row>
    <row r="25" spans="1:6" x14ac:dyDescent="0.3">
      <c r="A25" s="12" t="s">
        <v>160</v>
      </c>
      <c r="B25" s="12" t="s">
        <v>161</v>
      </c>
      <c r="C25" s="12" t="s">
        <v>108</v>
      </c>
      <c r="D25" s="12" t="s">
        <v>109</v>
      </c>
      <c r="E25" s="12" t="s">
        <v>151</v>
      </c>
      <c r="F25" s="12" t="s">
        <v>382</v>
      </c>
    </row>
    <row r="26" spans="1:6" x14ac:dyDescent="0.3">
      <c r="A26" s="12" t="s">
        <v>162</v>
      </c>
      <c r="B26" s="12" t="s">
        <v>163</v>
      </c>
      <c r="C26" s="12" t="s">
        <v>117</v>
      </c>
      <c r="D26" s="12" t="s">
        <v>109</v>
      </c>
      <c r="E26" s="12" t="s">
        <v>151</v>
      </c>
      <c r="F26" s="12" t="s">
        <v>372</v>
      </c>
    </row>
    <row r="27" spans="1:6" x14ac:dyDescent="0.3">
      <c r="A27" s="12" t="s">
        <v>164</v>
      </c>
      <c r="B27" s="12" t="s">
        <v>165</v>
      </c>
      <c r="C27" s="12" t="s">
        <v>117</v>
      </c>
      <c r="D27" s="12" t="s">
        <v>109</v>
      </c>
      <c r="E27" s="12" t="s">
        <v>151</v>
      </c>
      <c r="F27" s="12" t="s">
        <v>372</v>
      </c>
    </row>
    <row r="28" spans="1:6" x14ac:dyDescent="0.3">
      <c r="A28" s="12" t="s">
        <v>166</v>
      </c>
      <c r="B28" s="12" t="s">
        <v>167</v>
      </c>
      <c r="C28" s="12" t="s">
        <v>108</v>
      </c>
      <c r="D28" s="12" t="s">
        <v>109</v>
      </c>
      <c r="E28" s="12" t="s">
        <v>168</v>
      </c>
      <c r="F28" s="12" t="s">
        <v>382</v>
      </c>
    </row>
    <row r="29" spans="1:6" x14ac:dyDescent="0.3">
      <c r="A29" s="12" t="s">
        <v>169</v>
      </c>
      <c r="B29" s="12" t="s">
        <v>170</v>
      </c>
      <c r="C29" s="12" t="s">
        <v>108</v>
      </c>
      <c r="D29" s="12" t="s">
        <v>109</v>
      </c>
      <c r="E29" s="12" t="s">
        <v>168</v>
      </c>
      <c r="F29" s="12" t="s">
        <v>382</v>
      </c>
    </row>
    <row r="30" spans="1:6" x14ac:dyDescent="0.3">
      <c r="A30" s="12" t="s">
        <v>171</v>
      </c>
      <c r="B30" s="12" t="s">
        <v>172</v>
      </c>
      <c r="C30" s="12" t="s">
        <v>117</v>
      </c>
      <c r="D30" s="12" t="s">
        <v>109</v>
      </c>
      <c r="E30" s="12" t="s">
        <v>168</v>
      </c>
      <c r="F30" s="12" t="s">
        <v>372</v>
      </c>
    </row>
    <row r="31" spans="1:6" x14ac:dyDescent="0.3">
      <c r="A31" s="12" t="s">
        <v>173</v>
      </c>
      <c r="B31" s="12" t="s">
        <v>174</v>
      </c>
      <c r="C31" s="12" t="s">
        <v>108</v>
      </c>
      <c r="D31" s="12" t="s">
        <v>109</v>
      </c>
      <c r="E31" s="12" t="s">
        <v>168</v>
      </c>
      <c r="F31" s="12" t="s">
        <v>382</v>
      </c>
    </row>
    <row r="32" spans="1:6" x14ac:dyDescent="0.3">
      <c r="A32" s="12" t="s">
        <v>175</v>
      </c>
      <c r="B32" s="12" t="s">
        <v>176</v>
      </c>
      <c r="C32" s="12" t="s">
        <v>117</v>
      </c>
      <c r="D32" s="12" t="s">
        <v>109</v>
      </c>
      <c r="E32" s="12" t="s">
        <v>168</v>
      </c>
      <c r="F32" s="12" t="s">
        <v>372</v>
      </c>
    </row>
    <row r="33" spans="1:6" x14ac:dyDescent="0.3">
      <c r="A33" s="12" t="s">
        <v>177</v>
      </c>
      <c r="B33" s="12" t="s">
        <v>178</v>
      </c>
      <c r="C33" s="12" t="s">
        <v>117</v>
      </c>
      <c r="D33" s="12" t="s">
        <v>109</v>
      </c>
      <c r="E33" s="12" t="s">
        <v>168</v>
      </c>
      <c r="F33" s="12" t="s">
        <v>372</v>
      </c>
    </row>
    <row r="34" spans="1:6" x14ac:dyDescent="0.3">
      <c r="A34" s="12" t="s">
        <v>179</v>
      </c>
      <c r="B34" s="12" t="s">
        <v>180</v>
      </c>
      <c r="C34" s="12" t="s">
        <v>117</v>
      </c>
      <c r="D34" s="12" t="s">
        <v>109</v>
      </c>
      <c r="E34" s="12" t="s">
        <v>168</v>
      </c>
      <c r="F34" s="12" t="s">
        <v>372</v>
      </c>
    </row>
    <row r="35" spans="1:6" x14ac:dyDescent="0.3">
      <c r="A35" s="12" t="s">
        <v>181</v>
      </c>
      <c r="B35" s="12" t="s">
        <v>182</v>
      </c>
      <c r="C35" s="12" t="s">
        <v>183</v>
      </c>
      <c r="D35" s="12" t="s">
        <v>136</v>
      </c>
      <c r="E35" s="12" t="s">
        <v>168</v>
      </c>
      <c r="F35" s="12" t="s">
        <v>376</v>
      </c>
    </row>
    <row r="36" spans="1:6" x14ac:dyDescent="0.3">
      <c r="A36" s="12" t="s">
        <v>184</v>
      </c>
      <c r="B36" s="12" t="s">
        <v>185</v>
      </c>
      <c r="C36" s="12" t="s">
        <v>108</v>
      </c>
      <c r="D36" s="12" t="s">
        <v>109</v>
      </c>
      <c r="E36" s="12" t="s">
        <v>186</v>
      </c>
      <c r="F36" s="12" t="s">
        <v>382</v>
      </c>
    </row>
    <row r="37" spans="1:6" x14ac:dyDescent="0.3">
      <c r="A37" s="12" t="s">
        <v>187</v>
      </c>
      <c r="B37" s="12" t="s">
        <v>188</v>
      </c>
      <c r="C37" s="12" t="s">
        <v>117</v>
      </c>
      <c r="D37" s="12" t="s">
        <v>109</v>
      </c>
      <c r="E37" s="12" t="s">
        <v>186</v>
      </c>
      <c r="F37" s="12" t="s">
        <v>372</v>
      </c>
    </row>
    <row r="38" spans="1:6" x14ac:dyDescent="0.3">
      <c r="A38" s="12" t="s">
        <v>189</v>
      </c>
      <c r="B38" s="12" t="s">
        <v>190</v>
      </c>
      <c r="C38" s="12" t="s">
        <v>117</v>
      </c>
      <c r="D38" s="12" t="s">
        <v>109</v>
      </c>
      <c r="E38" s="12" t="s">
        <v>186</v>
      </c>
      <c r="F38" s="12" t="s">
        <v>372</v>
      </c>
    </row>
    <row r="39" spans="1:6" x14ac:dyDescent="0.3">
      <c r="A39" s="12" t="s">
        <v>191</v>
      </c>
      <c r="B39" s="12" t="s">
        <v>192</v>
      </c>
      <c r="C39" s="12" t="s">
        <v>108</v>
      </c>
      <c r="D39" s="12" t="s">
        <v>109</v>
      </c>
      <c r="E39" s="12" t="s">
        <v>186</v>
      </c>
      <c r="F39" s="12" t="s">
        <v>382</v>
      </c>
    </row>
    <row r="40" spans="1:6" x14ac:dyDescent="0.3">
      <c r="A40" s="12" t="s">
        <v>193</v>
      </c>
      <c r="B40" s="12" t="s">
        <v>194</v>
      </c>
      <c r="C40" s="12" t="s">
        <v>108</v>
      </c>
      <c r="D40" s="12" t="s">
        <v>136</v>
      </c>
      <c r="E40" s="12" t="s">
        <v>186</v>
      </c>
      <c r="F40" s="12" t="s">
        <v>382</v>
      </c>
    </row>
    <row r="41" spans="1:6" x14ac:dyDescent="0.3">
      <c r="A41" s="12" t="s">
        <v>195</v>
      </c>
      <c r="B41" s="12" t="s">
        <v>196</v>
      </c>
      <c r="C41" s="12" t="s">
        <v>117</v>
      </c>
      <c r="D41" s="12" t="s">
        <v>109</v>
      </c>
      <c r="E41" s="12" t="s">
        <v>186</v>
      </c>
      <c r="F41" s="12" t="s">
        <v>372</v>
      </c>
    </row>
    <row r="42" spans="1:6" x14ac:dyDescent="0.3">
      <c r="A42" s="12" t="s">
        <v>197</v>
      </c>
      <c r="B42" s="12" t="s">
        <v>198</v>
      </c>
      <c r="C42" s="12" t="s">
        <v>183</v>
      </c>
      <c r="D42" s="12" t="s">
        <v>109</v>
      </c>
      <c r="E42" s="12" t="s">
        <v>186</v>
      </c>
      <c r="F42" s="12" t="s">
        <v>376</v>
      </c>
    </row>
    <row r="43" spans="1:6" x14ac:dyDescent="0.3">
      <c r="A43" s="12" t="s">
        <v>199</v>
      </c>
      <c r="B43" s="12" t="s">
        <v>200</v>
      </c>
      <c r="C43" s="12" t="s">
        <v>108</v>
      </c>
      <c r="D43" s="12" t="s">
        <v>109</v>
      </c>
      <c r="E43" s="12" t="s">
        <v>201</v>
      </c>
      <c r="F43" s="12" t="s">
        <v>382</v>
      </c>
    </row>
    <row r="44" spans="1:6" x14ac:dyDescent="0.3">
      <c r="A44" s="12" t="s">
        <v>202</v>
      </c>
      <c r="B44" s="12" t="s">
        <v>203</v>
      </c>
      <c r="C44" s="12" t="s">
        <v>108</v>
      </c>
      <c r="D44" s="12" t="s">
        <v>136</v>
      </c>
      <c r="E44" s="12" t="s">
        <v>201</v>
      </c>
      <c r="F44" s="12" t="s">
        <v>382</v>
      </c>
    </row>
    <row r="45" spans="1:6" x14ac:dyDescent="0.3">
      <c r="A45" s="12" t="s">
        <v>204</v>
      </c>
      <c r="B45" s="12" t="s">
        <v>205</v>
      </c>
      <c r="C45" s="12" t="s">
        <v>117</v>
      </c>
      <c r="D45" s="12" t="s">
        <v>109</v>
      </c>
      <c r="E45" s="12" t="s">
        <v>201</v>
      </c>
      <c r="F45" s="12" t="s">
        <v>372</v>
      </c>
    </row>
    <row r="46" spans="1:6" x14ac:dyDescent="0.3">
      <c r="A46" s="12" t="s">
        <v>206</v>
      </c>
      <c r="B46" s="12" t="s">
        <v>207</v>
      </c>
      <c r="C46" s="12" t="s">
        <v>108</v>
      </c>
      <c r="D46" s="12" t="s">
        <v>109</v>
      </c>
      <c r="E46" s="12" t="s">
        <v>201</v>
      </c>
      <c r="F46" s="12" t="s">
        <v>382</v>
      </c>
    </row>
    <row r="47" spans="1:6" x14ac:dyDescent="0.3">
      <c r="A47" s="12" t="s">
        <v>208</v>
      </c>
      <c r="B47" s="12" t="s">
        <v>209</v>
      </c>
      <c r="C47" s="12" t="s">
        <v>117</v>
      </c>
      <c r="D47" s="12" t="s">
        <v>109</v>
      </c>
      <c r="E47" s="12" t="s">
        <v>201</v>
      </c>
      <c r="F47" s="12" t="s">
        <v>372</v>
      </c>
    </row>
    <row r="48" spans="1:6" x14ac:dyDescent="0.3">
      <c r="A48" s="12" t="s">
        <v>210</v>
      </c>
      <c r="B48" s="12" t="s">
        <v>211</v>
      </c>
      <c r="C48" s="12" t="s">
        <v>108</v>
      </c>
      <c r="D48" s="12" t="s">
        <v>136</v>
      </c>
      <c r="E48" s="12" t="s">
        <v>201</v>
      </c>
      <c r="F48" s="12" t="s">
        <v>382</v>
      </c>
    </row>
    <row r="49" spans="1:6" x14ac:dyDescent="0.3">
      <c r="A49" s="12" t="s">
        <v>212</v>
      </c>
      <c r="B49" s="12" t="s">
        <v>213</v>
      </c>
      <c r="C49" s="12" t="s">
        <v>117</v>
      </c>
      <c r="D49" s="12" t="s">
        <v>136</v>
      </c>
      <c r="E49" s="12" t="s">
        <v>201</v>
      </c>
      <c r="F49" s="12" t="s">
        <v>372</v>
      </c>
    </row>
    <row r="50" spans="1:6" x14ac:dyDescent="0.3">
      <c r="A50" s="12" t="s">
        <v>214</v>
      </c>
      <c r="B50" s="12" t="s">
        <v>215</v>
      </c>
      <c r="C50" s="12" t="s">
        <v>108</v>
      </c>
      <c r="D50" s="12" t="s">
        <v>109</v>
      </c>
      <c r="E50" s="12" t="s">
        <v>201</v>
      </c>
      <c r="F50" s="12" t="s">
        <v>382</v>
      </c>
    </row>
    <row r="51" spans="1:6" x14ac:dyDescent="0.3">
      <c r="A51" s="12" t="s">
        <v>216</v>
      </c>
      <c r="B51" s="12" t="s">
        <v>217</v>
      </c>
      <c r="C51" s="12" t="s">
        <v>108</v>
      </c>
      <c r="D51" s="12" t="s">
        <v>109</v>
      </c>
      <c r="E51" s="12" t="s">
        <v>201</v>
      </c>
      <c r="F51" s="12" t="s">
        <v>382</v>
      </c>
    </row>
    <row r="52" spans="1:6" x14ac:dyDescent="0.3">
      <c r="A52" s="12" t="s">
        <v>218</v>
      </c>
      <c r="B52" s="12" t="s">
        <v>219</v>
      </c>
      <c r="C52" s="12" t="s">
        <v>108</v>
      </c>
      <c r="D52" s="12" t="s">
        <v>109</v>
      </c>
      <c r="E52" s="12" t="s">
        <v>201</v>
      </c>
      <c r="F52" s="12" t="s">
        <v>382</v>
      </c>
    </row>
    <row r="53" spans="1:6" x14ac:dyDescent="0.3">
      <c r="A53" s="12" t="s">
        <v>220</v>
      </c>
      <c r="B53" s="12" t="s">
        <v>221</v>
      </c>
      <c r="C53" s="12" t="s">
        <v>108</v>
      </c>
      <c r="D53" s="12" t="s">
        <v>109</v>
      </c>
      <c r="E53" s="12" t="s">
        <v>222</v>
      </c>
      <c r="F53" s="12" t="s">
        <v>382</v>
      </c>
    </row>
    <row r="54" spans="1:6" x14ac:dyDescent="0.3">
      <c r="A54" s="12" t="s">
        <v>223</v>
      </c>
      <c r="B54" s="12" t="s">
        <v>224</v>
      </c>
      <c r="C54" s="12" t="s">
        <v>108</v>
      </c>
      <c r="D54" s="12" t="s">
        <v>109</v>
      </c>
      <c r="E54" s="12" t="s">
        <v>222</v>
      </c>
      <c r="F54" s="12" t="s">
        <v>382</v>
      </c>
    </row>
    <row r="55" spans="1:6" x14ac:dyDescent="0.3">
      <c r="A55" s="12" t="s">
        <v>225</v>
      </c>
      <c r="B55" s="12" t="s">
        <v>226</v>
      </c>
      <c r="C55" s="12" t="s">
        <v>117</v>
      </c>
      <c r="D55" s="12" t="s">
        <v>109</v>
      </c>
      <c r="E55" s="12" t="s">
        <v>222</v>
      </c>
      <c r="F55" s="12" t="s">
        <v>372</v>
      </c>
    </row>
    <row r="56" spans="1:6" x14ac:dyDescent="0.3">
      <c r="A56" s="12" t="s">
        <v>227</v>
      </c>
      <c r="B56" s="12" t="s">
        <v>228</v>
      </c>
      <c r="C56" s="12" t="s">
        <v>108</v>
      </c>
      <c r="D56" s="12" t="s">
        <v>109</v>
      </c>
      <c r="E56" s="12" t="s">
        <v>222</v>
      </c>
      <c r="F56" s="12" t="s">
        <v>382</v>
      </c>
    </row>
    <row r="57" spans="1:6" x14ac:dyDescent="0.3">
      <c r="A57" s="12" t="s">
        <v>229</v>
      </c>
      <c r="B57" s="12" t="s">
        <v>230</v>
      </c>
      <c r="C57" s="12" t="s">
        <v>108</v>
      </c>
      <c r="D57" s="12" t="s">
        <v>109</v>
      </c>
      <c r="E57" s="12" t="s">
        <v>222</v>
      </c>
      <c r="F57" s="12" t="s">
        <v>382</v>
      </c>
    </row>
    <row r="58" spans="1:6" x14ac:dyDescent="0.3">
      <c r="A58" s="12" t="s">
        <v>231</v>
      </c>
      <c r="B58" s="12" t="s">
        <v>232</v>
      </c>
      <c r="C58" s="12" t="s">
        <v>117</v>
      </c>
      <c r="D58" s="12" t="s">
        <v>109</v>
      </c>
      <c r="E58" s="12" t="s">
        <v>222</v>
      </c>
      <c r="F58" s="12" t="s">
        <v>372</v>
      </c>
    </row>
    <row r="59" spans="1:6" x14ac:dyDescent="0.3">
      <c r="A59" s="12" t="s">
        <v>233</v>
      </c>
      <c r="B59" s="12" t="s">
        <v>234</v>
      </c>
      <c r="C59" s="12" t="s">
        <v>117</v>
      </c>
      <c r="D59" s="12" t="s">
        <v>136</v>
      </c>
      <c r="E59" s="12" t="s">
        <v>222</v>
      </c>
      <c r="F59" s="12" t="s">
        <v>372</v>
      </c>
    </row>
    <row r="60" spans="1:6" x14ac:dyDescent="0.3">
      <c r="A60" s="12" t="s">
        <v>235</v>
      </c>
      <c r="B60" s="12" t="s">
        <v>236</v>
      </c>
      <c r="C60" s="12" t="s">
        <v>108</v>
      </c>
      <c r="D60" s="12" t="s">
        <v>109</v>
      </c>
      <c r="E60" s="12" t="s">
        <v>237</v>
      </c>
      <c r="F60" s="12" t="s">
        <v>382</v>
      </c>
    </row>
    <row r="61" spans="1:6" x14ac:dyDescent="0.3">
      <c r="A61" s="12" t="s">
        <v>238</v>
      </c>
      <c r="B61" s="12" t="s">
        <v>239</v>
      </c>
      <c r="C61" s="12" t="s">
        <v>108</v>
      </c>
      <c r="D61" s="12" t="s">
        <v>109</v>
      </c>
      <c r="E61" s="12" t="s">
        <v>237</v>
      </c>
      <c r="F61" s="12" t="s">
        <v>382</v>
      </c>
    </row>
    <row r="62" spans="1:6" x14ac:dyDescent="0.3">
      <c r="A62" s="12" t="s">
        <v>240</v>
      </c>
      <c r="B62" s="12" t="s">
        <v>241</v>
      </c>
      <c r="C62" s="12" t="s">
        <v>108</v>
      </c>
      <c r="D62" s="12" t="s">
        <v>109</v>
      </c>
      <c r="E62" s="12" t="s">
        <v>237</v>
      </c>
      <c r="F62" s="12" t="s">
        <v>382</v>
      </c>
    </row>
    <row r="63" spans="1:6" x14ac:dyDescent="0.3">
      <c r="A63" s="12" t="s">
        <v>242</v>
      </c>
      <c r="B63" s="12" t="s">
        <v>243</v>
      </c>
      <c r="C63" s="12" t="s">
        <v>117</v>
      </c>
      <c r="D63" s="12" t="s">
        <v>109</v>
      </c>
      <c r="E63" s="12" t="s">
        <v>237</v>
      </c>
      <c r="F63" s="12" t="s">
        <v>372</v>
      </c>
    </row>
    <row r="64" spans="1:6" x14ac:dyDescent="0.3">
      <c r="A64" s="12" t="s">
        <v>244</v>
      </c>
      <c r="B64" s="12" t="s">
        <v>245</v>
      </c>
      <c r="C64" s="12" t="s">
        <v>117</v>
      </c>
      <c r="D64" s="12" t="s">
        <v>109</v>
      </c>
      <c r="E64" s="12" t="s">
        <v>237</v>
      </c>
      <c r="F64" s="12" t="s">
        <v>372</v>
      </c>
    </row>
    <row r="65" spans="1:6" x14ac:dyDescent="0.3">
      <c r="A65" s="12" t="s">
        <v>246</v>
      </c>
      <c r="B65" s="12" t="s">
        <v>247</v>
      </c>
      <c r="C65" s="12" t="s">
        <v>117</v>
      </c>
      <c r="D65" s="12" t="s">
        <v>109</v>
      </c>
      <c r="E65" s="12" t="s">
        <v>237</v>
      </c>
      <c r="F65" s="12" t="s">
        <v>372</v>
      </c>
    </row>
    <row r="66" spans="1:6" x14ac:dyDescent="0.3">
      <c r="A66" s="12" t="s">
        <v>248</v>
      </c>
      <c r="B66" s="12" t="s">
        <v>249</v>
      </c>
      <c r="C66" s="12" t="s">
        <v>117</v>
      </c>
      <c r="D66" s="12" t="s">
        <v>136</v>
      </c>
      <c r="E66" s="12" t="s">
        <v>237</v>
      </c>
      <c r="F66" s="12" t="s">
        <v>372</v>
      </c>
    </row>
    <row r="67" spans="1:6" x14ac:dyDescent="0.3">
      <c r="A67" s="12" t="s">
        <v>250</v>
      </c>
      <c r="B67" s="12" t="s">
        <v>251</v>
      </c>
      <c r="C67" s="12" t="s">
        <v>108</v>
      </c>
      <c r="D67" s="12" t="s">
        <v>109</v>
      </c>
      <c r="E67" s="12" t="s">
        <v>252</v>
      </c>
      <c r="F67" s="12" t="s">
        <v>382</v>
      </c>
    </row>
    <row r="68" spans="1:6" x14ac:dyDescent="0.3">
      <c r="A68" s="12" t="s">
        <v>253</v>
      </c>
      <c r="B68" s="12" t="s">
        <v>254</v>
      </c>
      <c r="C68" s="12" t="s">
        <v>108</v>
      </c>
      <c r="D68" s="12" t="s">
        <v>109</v>
      </c>
      <c r="E68" s="12" t="s">
        <v>252</v>
      </c>
      <c r="F68" s="12" t="s">
        <v>382</v>
      </c>
    </row>
    <row r="69" spans="1:6" x14ac:dyDescent="0.3">
      <c r="A69" s="12" t="s">
        <v>255</v>
      </c>
      <c r="B69" s="12" t="s">
        <v>256</v>
      </c>
      <c r="C69" s="12" t="s">
        <v>108</v>
      </c>
      <c r="D69" s="12" t="s">
        <v>109</v>
      </c>
      <c r="E69" s="12" t="s">
        <v>252</v>
      </c>
      <c r="F69" s="12" t="s">
        <v>382</v>
      </c>
    </row>
    <row r="70" spans="1:6" x14ac:dyDescent="0.3">
      <c r="A70" s="12" t="s">
        <v>257</v>
      </c>
      <c r="B70" s="12" t="s">
        <v>258</v>
      </c>
      <c r="C70" s="12" t="s">
        <v>117</v>
      </c>
      <c r="D70" s="12" t="s">
        <v>136</v>
      </c>
      <c r="E70" s="12" t="s">
        <v>252</v>
      </c>
      <c r="F70" s="12" t="s">
        <v>372</v>
      </c>
    </row>
    <row r="71" spans="1:6" x14ac:dyDescent="0.3">
      <c r="A71" s="12" t="s">
        <v>259</v>
      </c>
      <c r="B71" s="12" t="s">
        <v>260</v>
      </c>
      <c r="C71" s="12" t="s">
        <v>108</v>
      </c>
      <c r="D71" s="12" t="s">
        <v>109</v>
      </c>
      <c r="E71" s="12" t="s">
        <v>252</v>
      </c>
      <c r="F71" s="12" t="s">
        <v>382</v>
      </c>
    </row>
    <row r="72" spans="1:6" x14ac:dyDescent="0.3">
      <c r="A72" s="12" t="s">
        <v>261</v>
      </c>
      <c r="B72" s="12" t="s">
        <v>262</v>
      </c>
      <c r="C72" s="12" t="s">
        <v>108</v>
      </c>
      <c r="D72" s="12" t="s">
        <v>109</v>
      </c>
      <c r="E72" s="12" t="s">
        <v>252</v>
      </c>
      <c r="F72" s="12" t="s">
        <v>382</v>
      </c>
    </row>
    <row r="73" spans="1:6" x14ac:dyDescent="0.3">
      <c r="A73" s="12" t="s">
        <v>263</v>
      </c>
      <c r="B73" s="12" t="s">
        <v>264</v>
      </c>
      <c r="C73" s="12" t="s">
        <v>117</v>
      </c>
      <c r="D73" s="12" t="s">
        <v>136</v>
      </c>
      <c r="E73" s="12" t="s">
        <v>252</v>
      </c>
      <c r="F73" s="12" t="s">
        <v>372</v>
      </c>
    </row>
    <row r="74" spans="1:6" x14ac:dyDescent="0.3">
      <c r="A74" s="12" t="s">
        <v>265</v>
      </c>
      <c r="B74" s="12" t="s">
        <v>266</v>
      </c>
      <c r="C74" s="12" t="s">
        <v>108</v>
      </c>
      <c r="D74" s="12" t="s">
        <v>109</v>
      </c>
      <c r="E74" s="12" t="s">
        <v>267</v>
      </c>
      <c r="F74" s="12" t="s">
        <v>382</v>
      </c>
    </row>
    <row r="75" spans="1:6" x14ac:dyDescent="0.3">
      <c r="A75" s="12" t="s">
        <v>268</v>
      </c>
      <c r="B75" s="12" t="s">
        <v>269</v>
      </c>
      <c r="C75" s="12" t="s">
        <v>108</v>
      </c>
      <c r="D75" s="12" t="s">
        <v>109</v>
      </c>
      <c r="E75" s="12" t="s">
        <v>267</v>
      </c>
      <c r="F75" s="12" t="s">
        <v>382</v>
      </c>
    </row>
    <row r="76" spans="1:6" x14ac:dyDescent="0.3">
      <c r="A76" s="12" t="s">
        <v>270</v>
      </c>
      <c r="B76" s="12" t="s">
        <v>271</v>
      </c>
      <c r="C76" s="12" t="s">
        <v>117</v>
      </c>
      <c r="D76" s="12" t="s">
        <v>109</v>
      </c>
      <c r="E76" s="12" t="s">
        <v>267</v>
      </c>
      <c r="F76" s="12" t="s">
        <v>372</v>
      </c>
    </row>
    <row r="77" spans="1:6" x14ac:dyDescent="0.3">
      <c r="A77" s="12" t="s">
        <v>272</v>
      </c>
      <c r="B77" s="12" t="s">
        <v>273</v>
      </c>
      <c r="C77" s="12" t="s">
        <v>108</v>
      </c>
      <c r="D77" s="12" t="s">
        <v>128</v>
      </c>
      <c r="E77" s="12" t="s">
        <v>267</v>
      </c>
      <c r="F77" s="12" t="s">
        <v>382</v>
      </c>
    </row>
    <row r="78" spans="1:6" x14ac:dyDescent="0.3">
      <c r="A78" s="12" t="s">
        <v>274</v>
      </c>
      <c r="B78" s="12" t="s">
        <v>275</v>
      </c>
      <c r="C78" s="12" t="s">
        <v>117</v>
      </c>
      <c r="D78" s="12" t="s">
        <v>109</v>
      </c>
      <c r="E78" s="12" t="s">
        <v>267</v>
      </c>
      <c r="F78" s="12" t="s">
        <v>372</v>
      </c>
    </row>
    <row r="79" spans="1:6" x14ac:dyDescent="0.3">
      <c r="A79" s="12" t="s">
        <v>276</v>
      </c>
      <c r="B79" s="12" t="s">
        <v>277</v>
      </c>
      <c r="C79" s="12" t="s">
        <v>117</v>
      </c>
      <c r="D79" s="12" t="s">
        <v>109</v>
      </c>
      <c r="E79" s="12" t="s">
        <v>267</v>
      </c>
      <c r="F79" s="12" t="s">
        <v>372</v>
      </c>
    </row>
    <row r="80" spans="1:6" x14ac:dyDescent="0.3">
      <c r="A80" s="12" t="s">
        <v>278</v>
      </c>
      <c r="B80" s="12" t="s">
        <v>279</v>
      </c>
      <c r="C80" s="12" t="s">
        <v>108</v>
      </c>
      <c r="D80" s="12" t="s">
        <v>109</v>
      </c>
      <c r="E80" s="12" t="s">
        <v>267</v>
      </c>
      <c r="F80" s="12" t="s">
        <v>382</v>
      </c>
    </row>
    <row r="81" spans="1:6" x14ac:dyDescent="0.3">
      <c r="A81" s="12" t="s">
        <v>280</v>
      </c>
      <c r="B81" s="12" t="s">
        <v>281</v>
      </c>
      <c r="C81" s="12" t="s">
        <v>108</v>
      </c>
      <c r="D81" s="12" t="s">
        <v>109</v>
      </c>
      <c r="E81" s="12" t="s">
        <v>282</v>
      </c>
      <c r="F81" s="12" t="s">
        <v>382</v>
      </c>
    </row>
    <row r="82" spans="1:6" x14ac:dyDescent="0.3">
      <c r="A82" s="12" t="s">
        <v>283</v>
      </c>
      <c r="B82" s="12" t="s">
        <v>284</v>
      </c>
      <c r="C82" s="12" t="s">
        <v>108</v>
      </c>
      <c r="D82" s="12" t="s">
        <v>109</v>
      </c>
      <c r="E82" s="12" t="s">
        <v>282</v>
      </c>
      <c r="F82" s="12" t="s">
        <v>382</v>
      </c>
    </row>
    <row r="83" spans="1:6" x14ac:dyDescent="0.3">
      <c r="A83" s="12" t="s">
        <v>285</v>
      </c>
      <c r="B83" s="12" t="s">
        <v>286</v>
      </c>
      <c r="C83" s="12" t="s">
        <v>117</v>
      </c>
      <c r="D83" s="12" t="s">
        <v>109</v>
      </c>
      <c r="E83" s="12" t="s">
        <v>282</v>
      </c>
      <c r="F83" s="12" t="s">
        <v>372</v>
      </c>
    </row>
    <row r="84" spans="1:6" x14ac:dyDescent="0.3">
      <c r="A84" s="12" t="s">
        <v>287</v>
      </c>
      <c r="B84" s="12" t="s">
        <v>288</v>
      </c>
      <c r="C84" s="12" t="s">
        <v>117</v>
      </c>
      <c r="D84" s="12" t="s">
        <v>109</v>
      </c>
      <c r="E84" s="12" t="s">
        <v>282</v>
      </c>
      <c r="F84" s="12" t="s">
        <v>372</v>
      </c>
    </row>
    <row r="85" spans="1:6" x14ac:dyDescent="0.3">
      <c r="A85" s="12" t="s">
        <v>289</v>
      </c>
      <c r="B85" s="12" t="s">
        <v>290</v>
      </c>
      <c r="C85" s="12" t="s">
        <v>117</v>
      </c>
      <c r="D85" s="12" t="s">
        <v>109</v>
      </c>
      <c r="E85" s="12" t="s">
        <v>282</v>
      </c>
      <c r="F85" s="12" t="s">
        <v>372</v>
      </c>
    </row>
    <row r="86" spans="1:6" x14ac:dyDescent="0.3">
      <c r="A86" s="12" t="s">
        <v>291</v>
      </c>
      <c r="B86" s="12" t="s">
        <v>292</v>
      </c>
      <c r="C86" s="12" t="s">
        <v>117</v>
      </c>
      <c r="D86" s="12" t="s">
        <v>136</v>
      </c>
      <c r="E86" s="12" t="s">
        <v>282</v>
      </c>
      <c r="F86" s="12" t="s">
        <v>372</v>
      </c>
    </row>
    <row r="87" spans="1:6" x14ac:dyDescent="0.3">
      <c r="A87" s="12" t="s">
        <v>293</v>
      </c>
      <c r="B87" s="12" t="s">
        <v>294</v>
      </c>
      <c r="C87" s="12" t="s">
        <v>108</v>
      </c>
      <c r="D87" s="12" t="s">
        <v>109</v>
      </c>
      <c r="E87" s="12" t="s">
        <v>295</v>
      </c>
      <c r="F87" s="12" t="s">
        <v>382</v>
      </c>
    </row>
    <row r="88" spans="1:6" x14ac:dyDescent="0.3">
      <c r="A88" s="12" t="s">
        <v>296</v>
      </c>
      <c r="B88" s="12" t="s">
        <v>297</v>
      </c>
      <c r="C88" s="12" t="s">
        <v>117</v>
      </c>
      <c r="D88" s="12" t="s">
        <v>109</v>
      </c>
      <c r="E88" s="12" t="s">
        <v>295</v>
      </c>
      <c r="F88" s="12" t="s">
        <v>372</v>
      </c>
    </row>
    <row r="89" spans="1:6" x14ac:dyDescent="0.3">
      <c r="A89" s="12" t="s">
        <v>298</v>
      </c>
      <c r="B89" s="12" t="s">
        <v>299</v>
      </c>
      <c r="C89" s="12" t="s">
        <v>117</v>
      </c>
      <c r="D89" s="12" t="s">
        <v>109</v>
      </c>
      <c r="E89" s="12" t="s">
        <v>295</v>
      </c>
      <c r="F89" s="12" t="s">
        <v>372</v>
      </c>
    </row>
    <row r="90" spans="1:6" x14ac:dyDescent="0.3">
      <c r="A90" s="12" t="s">
        <v>300</v>
      </c>
      <c r="B90" s="12" t="s">
        <v>301</v>
      </c>
      <c r="C90" s="12" t="s">
        <v>117</v>
      </c>
      <c r="D90" s="12" t="s">
        <v>136</v>
      </c>
      <c r="E90" s="12" t="s">
        <v>295</v>
      </c>
      <c r="F90" s="12" t="s">
        <v>372</v>
      </c>
    </row>
    <row r="91" spans="1:6" x14ac:dyDescent="0.3">
      <c r="A91" s="12" t="s">
        <v>302</v>
      </c>
      <c r="B91" s="12" t="s">
        <v>303</v>
      </c>
      <c r="C91" s="12" t="s">
        <v>183</v>
      </c>
      <c r="D91" s="12" t="s">
        <v>136</v>
      </c>
      <c r="E91" s="12" t="s">
        <v>295</v>
      </c>
      <c r="F91" s="12" t="s">
        <v>376</v>
      </c>
    </row>
    <row r="92" spans="1:6" x14ac:dyDescent="0.3">
      <c r="A92" s="12" t="s">
        <v>304</v>
      </c>
      <c r="B92" s="12" t="s">
        <v>305</v>
      </c>
      <c r="C92" s="12" t="s">
        <v>183</v>
      </c>
      <c r="D92" s="12" t="s">
        <v>136</v>
      </c>
      <c r="E92" s="12" t="s">
        <v>295</v>
      </c>
      <c r="F92" s="12" t="s">
        <v>376</v>
      </c>
    </row>
    <row r="93" spans="1:6" x14ac:dyDescent="0.3">
      <c r="A93" s="12" t="s">
        <v>306</v>
      </c>
      <c r="B93" s="12" t="s">
        <v>307</v>
      </c>
      <c r="C93" s="12" t="s">
        <v>117</v>
      </c>
      <c r="D93" s="12" t="s">
        <v>136</v>
      </c>
      <c r="E93" s="12" t="s">
        <v>295</v>
      </c>
      <c r="F93" s="12" t="s">
        <v>372</v>
      </c>
    </row>
    <row r="94" spans="1:6" x14ac:dyDescent="0.3">
      <c r="A94" s="12" t="s">
        <v>308</v>
      </c>
      <c r="B94" s="12" t="s">
        <v>309</v>
      </c>
      <c r="C94" s="12" t="s">
        <v>108</v>
      </c>
      <c r="D94" s="12" t="s">
        <v>109</v>
      </c>
      <c r="E94" s="12" t="s">
        <v>310</v>
      </c>
      <c r="F94" s="12" t="s">
        <v>382</v>
      </c>
    </row>
    <row r="95" spans="1:6" x14ac:dyDescent="0.3">
      <c r="A95" s="12" t="s">
        <v>311</v>
      </c>
      <c r="B95" s="12" t="s">
        <v>312</v>
      </c>
      <c r="C95" s="12" t="s">
        <v>108</v>
      </c>
      <c r="D95" s="12" t="s">
        <v>109</v>
      </c>
      <c r="E95" s="12" t="s">
        <v>310</v>
      </c>
      <c r="F95" s="12" t="s">
        <v>382</v>
      </c>
    </row>
    <row r="96" spans="1:6" x14ac:dyDescent="0.3">
      <c r="A96" s="12" t="s">
        <v>313</v>
      </c>
      <c r="B96" s="12" t="s">
        <v>314</v>
      </c>
      <c r="C96" s="12" t="s">
        <v>108</v>
      </c>
      <c r="D96" s="12" t="s">
        <v>109</v>
      </c>
      <c r="E96" s="12" t="s">
        <v>310</v>
      </c>
      <c r="F96" s="12" t="s">
        <v>382</v>
      </c>
    </row>
    <row r="97" spans="1:6" x14ac:dyDescent="0.3">
      <c r="A97" s="12" t="s">
        <v>315</v>
      </c>
      <c r="B97" s="12" t="s">
        <v>316</v>
      </c>
      <c r="C97" s="12" t="s">
        <v>117</v>
      </c>
      <c r="D97" s="12" t="s">
        <v>109</v>
      </c>
      <c r="E97" s="12" t="s">
        <v>310</v>
      </c>
      <c r="F97" s="12" t="s">
        <v>372</v>
      </c>
    </row>
    <row r="98" spans="1:6" x14ac:dyDescent="0.3">
      <c r="A98" s="12" t="s">
        <v>317</v>
      </c>
      <c r="B98" s="12" t="s">
        <v>318</v>
      </c>
      <c r="C98" s="12" t="s">
        <v>117</v>
      </c>
      <c r="D98" s="12" t="s">
        <v>109</v>
      </c>
      <c r="E98" s="12" t="s">
        <v>310</v>
      </c>
      <c r="F98" s="12" t="s">
        <v>372</v>
      </c>
    </row>
    <row r="99" spans="1:6" x14ac:dyDescent="0.3">
      <c r="A99" s="12" t="s">
        <v>319</v>
      </c>
      <c r="B99" s="12" t="s">
        <v>320</v>
      </c>
      <c r="C99" s="12" t="s">
        <v>117</v>
      </c>
      <c r="D99" s="12" t="s">
        <v>109</v>
      </c>
      <c r="E99" s="12" t="s">
        <v>310</v>
      </c>
      <c r="F99" s="12" t="s">
        <v>372</v>
      </c>
    </row>
    <row r="100" spans="1:6" x14ac:dyDescent="0.3">
      <c r="A100" s="12" t="s">
        <v>321</v>
      </c>
      <c r="B100" s="12" t="s">
        <v>322</v>
      </c>
      <c r="C100" s="12" t="s">
        <v>108</v>
      </c>
      <c r="D100" s="12" t="s">
        <v>109</v>
      </c>
      <c r="E100" s="12" t="s">
        <v>310</v>
      </c>
      <c r="F100" s="12" t="s">
        <v>382</v>
      </c>
    </row>
    <row r="101" spans="1:6" x14ac:dyDescent="0.3">
      <c r="A101" s="12" t="s">
        <v>323</v>
      </c>
      <c r="B101" s="12" t="s">
        <v>324</v>
      </c>
      <c r="C101" s="12" t="s">
        <v>108</v>
      </c>
      <c r="D101" s="12" t="s">
        <v>109</v>
      </c>
      <c r="E101" s="12" t="s">
        <v>325</v>
      </c>
      <c r="F101" s="12" t="s">
        <v>382</v>
      </c>
    </row>
    <row r="102" spans="1:6" x14ac:dyDescent="0.3">
      <c r="A102" s="12" t="s">
        <v>326</v>
      </c>
      <c r="B102" s="12" t="s">
        <v>327</v>
      </c>
      <c r="C102" s="12" t="s">
        <v>108</v>
      </c>
      <c r="D102" s="12" t="s">
        <v>109</v>
      </c>
      <c r="E102" s="12" t="s">
        <v>325</v>
      </c>
      <c r="F102" s="12" t="s">
        <v>382</v>
      </c>
    </row>
    <row r="103" spans="1:6" x14ac:dyDescent="0.3">
      <c r="A103" s="12" t="s">
        <v>328</v>
      </c>
      <c r="B103" s="12" t="s">
        <v>329</v>
      </c>
      <c r="C103" s="12" t="s">
        <v>117</v>
      </c>
      <c r="D103" s="12" t="s">
        <v>109</v>
      </c>
      <c r="E103" s="12" t="s">
        <v>325</v>
      </c>
      <c r="F103" s="12" t="s">
        <v>372</v>
      </c>
    </row>
    <row r="104" spans="1:6" x14ac:dyDescent="0.3">
      <c r="A104" s="12" t="s">
        <v>330</v>
      </c>
      <c r="B104" s="12" t="s">
        <v>331</v>
      </c>
      <c r="C104" s="12" t="s">
        <v>117</v>
      </c>
      <c r="D104" s="12" t="s">
        <v>109</v>
      </c>
      <c r="E104" s="12" t="s">
        <v>325</v>
      </c>
      <c r="F104" s="12" t="s">
        <v>372</v>
      </c>
    </row>
    <row r="105" spans="1:6" x14ac:dyDescent="0.3">
      <c r="A105" s="12" t="s">
        <v>332</v>
      </c>
      <c r="B105" s="12" t="s">
        <v>333</v>
      </c>
      <c r="C105" s="12" t="s">
        <v>117</v>
      </c>
      <c r="D105" s="12" t="s">
        <v>109</v>
      </c>
      <c r="E105" s="12" t="s">
        <v>325</v>
      </c>
      <c r="F105" s="12" t="s">
        <v>372</v>
      </c>
    </row>
    <row r="106" spans="1:6" x14ac:dyDescent="0.3">
      <c r="A106" s="12" t="s">
        <v>334</v>
      </c>
      <c r="B106" s="12" t="s">
        <v>335</v>
      </c>
      <c r="C106" s="12" t="s">
        <v>117</v>
      </c>
      <c r="D106" s="12" t="s">
        <v>109</v>
      </c>
      <c r="E106" s="12" t="s">
        <v>325</v>
      </c>
      <c r="F106" s="12" t="s">
        <v>372</v>
      </c>
    </row>
    <row r="107" spans="1:6" x14ac:dyDescent="0.3">
      <c r="A107" s="12" t="s">
        <v>336</v>
      </c>
      <c r="B107" s="12" t="s">
        <v>337</v>
      </c>
      <c r="C107" s="12" t="s">
        <v>183</v>
      </c>
      <c r="D107" s="12" t="s">
        <v>109</v>
      </c>
      <c r="E107" s="12" t="s">
        <v>325</v>
      </c>
      <c r="F107" s="12" t="s">
        <v>376</v>
      </c>
    </row>
    <row r="108" spans="1:6" x14ac:dyDescent="0.3">
      <c r="A108" s="12" t="s">
        <v>338</v>
      </c>
      <c r="B108" s="12" t="s">
        <v>339</v>
      </c>
      <c r="C108" s="12" t="s">
        <v>117</v>
      </c>
      <c r="D108" s="12" t="s">
        <v>109</v>
      </c>
      <c r="E108" s="12" t="s">
        <v>325</v>
      </c>
      <c r="F108" s="12" t="s">
        <v>372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Risk Assessment</vt:lpstr>
      <vt:lpstr>Control Selection</vt:lpstr>
      <vt:lpstr>Risk Matrix</vt:lpstr>
      <vt:lpstr>Control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2026-05-28T13:02:45Z</dcterms:created>
  <dcterms:modified xsi:type="dcterms:W3CDTF">2026-05-28T13:03:11Z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2026-05-28T13:03:11Z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480589c1-09f8-4e89-8488-a02b11641960</vt:lpwstr>
  </property>
  <property fmtid="{D5CDD505-2E9C-101B-9397-08002B2CF9AE}" pid="8" name="MSIP_Label_924dbb1d-991d-4bbd-aad5-33bac1d8ffaf_ContentBits">
    <vt:lpwstr>0</vt:lpwstr>
  </property>
  <property fmtid="{D5CDD505-2E9C-101B-9397-08002B2CF9AE}" pid="9" name="MSIP_Label_924dbb1d-991d-4bbd-aad5-33bac1d8ffaf_Tag">
    <vt:lpwstr>10, 3, 0, 1</vt:lpwstr>
  </property>
</Properties>
</file>